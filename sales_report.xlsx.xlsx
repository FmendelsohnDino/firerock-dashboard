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<sst xmlns="http://schemas.openxmlformats.org/spreadsheetml/2006/main" count="93" uniqueCount="69">
  <si>
    <t xml:space="preserve">FireRock Building Materials</t>
  </si>
  <si>
    <t xml:space="preserve">Daily Sales &amp; Revenue Report</t>
  </si>
  <si>
    <t xml:space="preserve">Month</t>
  </si>
  <si>
    <t xml:space="preserve"># Working Days in Month</t>
  </si>
  <si>
    <t xml:space="preserve"># Working Days in Year</t>
  </si>
  <si>
    <t xml:space="preserve"># Days In</t>
  </si>
  <si>
    <t xml:space="preserve"># Days In (YTD)</t>
  </si>
  <si>
    <t xml:space="preserve"># Days to Go</t>
  </si>
  <si>
    <t xml:space="preserve"># Days to Go (YTD)</t>
  </si>
  <si>
    <t xml:space="preserve">SALES ORDERS - CURRENT MONTH</t>
  </si>
  <si>
    <t xml:space="preserve">REVENUE</t>
  </si>
  <si>
    <t xml:space="preserve">BACKLOG</t>
  </si>
  <si>
    <t xml:space="preserve">SALES ORDERS - YTD</t>
  </si>
  <si>
    <t xml:space="preserve">Jun-26</t>
  </si>
  <si>
    <t xml:space="preserve">Jun-25</t>
  </si>
  <si>
    <t xml:space="preserve">Quota</t>
  </si>
  <si>
    <t xml:space="preserve">% Quota</t>
  </si>
  <si>
    <t xml:space="preserve">Forecast</t>
  </si>
  <si>
    <t xml:space="preserve">Rev MTD</t>
  </si>
  <si>
    <t xml:space="preserve">Backlog</t>
  </si>
  <si>
    <t xml:space="preserve">CY YTD</t>
  </si>
  <si>
    <t xml:space="preserve">PY YTD</t>
  </si>
  <si>
    <t xml:space="preserve">% PY</t>
  </si>
  <si>
    <t xml:space="preserve">Quota YTD</t>
  </si>
  <si>
    <t xml:space="preserve">Annual Quota</t>
  </si>
  <si>
    <t xml:space="preserve">Prior FYE</t>
  </si>
  <si>
    <t xml:space="preserve">% Pr FYE</t>
  </si>
  <si>
    <t xml:space="preserve">ERIC BLASKOWSKI</t>
  </si>
  <si>
    <t xml:space="preserve">KEVIN KEITH</t>
  </si>
  <si>
    <t xml:space="preserve">THORNTON COLE</t>
  </si>
  <si>
    <t xml:space="preserve">MICHAEL KUHLMAN</t>
  </si>
  <si>
    <t xml:space="preserve">HAMP BRILEY</t>
  </si>
  <si>
    <t xml:space="preserve">GRAYSON MOOREHEAD</t>
  </si>
  <si>
    <t xml:space="preserve">BEAU BOUTHILLIER</t>
  </si>
  <si>
    <t xml:space="preserve">SUZANNE HORST</t>
  </si>
  <si>
    <t xml:space="preserve">TIFFANY HASKEKER</t>
  </si>
  <si>
    <t xml:space="preserve">TOTAL FIREROCK SALES TEAM</t>
  </si>
  <si>
    <t xml:space="preserve">HOUSE/CORP PRODUCTS</t>
  </si>
  <si>
    <t xml:space="preserve">ELITE DEALS</t>
  </si>
  <si>
    <t xml:space="preserve">KCB</t>
  </si>
  <si>
    <t xml:space="preserve">NET DIRECT</t>
  </si>
  <si>
    <t xml:space="preserve">WOODLAND DIRECT</t>
  </si>
  <si>
    <t xml:space="preserve">TOTAL FIREROCK SALES</t>
  </si>
  <si>
    <t xml:space="preserve">REVENUE - CURRENT MONTH</t>
  </si>
  <si>
    <t xml:space="preserve">REVENUE - YTD</t>
  </si>
  <si>
    <t xml:space="preserve">Budget</t>
  </si>
  <si>
    <t xml:space="preserve">% Budget</t>
  </si>
  <si>
    <t xml:space="preserve">Budget YTD</t>
  </si>
  <si>
    <t xml:space="preserve">FIREPLACE/PP</t>
  </si>
  <si>
    <t xml:space="preserve">PAVER/PP</t>
  </si>
  <si>
    <t xml:space="preserve">ROOFING</t>
  </si>
  <si>
    <t xml:space="preserve">FLOORING</t>
  </si>
  <si>
    <t xml:space="preserve">INSTALLATION</t>
  </si>
  <si>
    <t xml:space="preserve">SWD</t>
  </si>
  <si>
    <t xml:space="preserve">OTHER</t>
  </si>
  <si>
    <t xml:space="preserve">TOTAL</t>
  </si>
  <si>
    <t xml:space="preserve">FREIGHT</t>
  </si>
  <si>
    <t xml:space="preserve">TOTAL W/ FREIGHT</t>
  </si>
  <si>
    <t xml:space="preserve">FireRock - Monthly Revenue by Rep</t>
  </si>
  <si>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</si>
  <si>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</si>
  <si>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</si>
  <si>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</si>
  <si>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</si>
  <si>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</si>
  <si>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Grand Total</t>
  </si>
  <si>
    <t xml:space="preserve">HOUSE</t>
  </si>
  <si>
    <t xml:space="preserve">TIFFANY HASEKER</t>
  </si>
  <si>
    <t xml:space="preserve">GRAY MOOREHEAD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</si>
</sst>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%;\(0%\);\-"/>
    <numFmt numFmtId="167" formatCode="General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F4E"/>
      <name val="Arial"/>
      <family val="0"/>
      <charset val="1"/>
    </font>
    <font>
      <b val="true"/>
      <sz val="11"/>
      <color rgb="FFC8952A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1F2F4E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2F4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EBEE"/>
        <bgColor rgb="FFFFFFFF"/>
      </patternFill>
    </fill>
    <fill>
      <patternFill patternType="solid">
        <fgColor rgb="FFC8952A"/>
        <bgColor rgb="FFFF8080"/>
      </patternFill>
    </fill>
    <fill>
      <patternFill patternType="solid">
        <fgColor rgb="FF1F2F4E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B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52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F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22" min="3" style="0" width="1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n">
        <v>46174</v>
      </c>
    </row>
    <row r="4" customFormat="false" ht="15" hidden="false" customHeight="false" outlineLevel="0" collapsed="false">
      <c r="B4" s="4" t="s">
        <v>2</v>
      </c>
      <c r="C4" s="0" t="n">
        <v>6</v>
      </c>
    </row>
    <row r="5" customFormat="false" ht="15" hidden="false" customHeight="false" outlineLevel="0" collapsed="false">
      <c r="B5" s="4" t="s">
        <v>3</v>
      </c>
      <c r="D5" s="0" t="n">
        <v>22</v>
      </c>
      <c r="I5" s="4" t="s">
        <v>4</v>
      </c>
      <c r="K5" s="0" t="n">
        <v>254</v>
      </c>
    </row>
    <row r="6" customFormat="false" ht="15" hidden="false" customHeight="false" outlineLevel="0" collapsed="false">
      <c r="B6" s="4" t="s">
        <v>5</v>
      </c>
      <c r="D6" s="0" t="n">
        <v>1</v>
      </c>
      <c r="E6" s="5" t="n">
        <f aca="false">IFERROR(D6/D5,0)</f>
        <v>0.0454545454545455</v>
      </c>
      <c r="I6" s="4" t="s">
        <v>6</v>
      </c>
      <c r="K6" s="0" t="n">
        <v>107</v>
      </c>
      <c r="L6" s="5" t="n">
        <f aca="false">IFERROR(K6/K5,0)</f>
        <v>0.421259842519685</v>
      </c>
    </row>
    <row r="7" customFormat="false" ht="15" hidden="false" customHeight="false" outlineLevel="0" collapsed="false">
      <c r="B7" s="4" t="s">
        <v>7</v>
      </c>
      <c r="D7" s="6" t="n">
        <f aca="false">D5-D6</f>
        <v>21</v>
      </c>
      <c r="I7" s="4" t="s">
        <v>8</v>
      </c>
      <c r="K7" s="6" t="n">
        <f aca="false">K5-K6</f>
        <v>147</v>
      </c>
    </row>
    <row r="11" customFormat="false" ht="15" hidden="false" customHeight="false" outlineLevel="0" collapsed="false">
      <c r="C11" s="7" t="s">
        <v>9</v>
      </c>
      <c r="J11" s="7" t="s">
        <v>10</v>
      </c>
      <c r="L11" s="7" t="s">
        <v>11</v>
      </c>
      <c r="N11" s="7" t="s">
        <v>12</v>
      </c>
    </row>
    <row r="13" customFormat="false" ht="15" hidden="false" customHeight="false" outlineLevel="0" collapsed="false">
      <c r="C13" s="8" t="s">
        <v>13</v>
      </c>
      <c r="D13" s="8" t="s">
        <v>14</v>
      </c>
      <c r="E13" s="8" t="s">
        <v>15</v>
      </c>
      <c r="F13" s="8" t="s">
        <v>16</v>
      </c>
      <c r="G13" s="8" t="s">
        <v>17</v>
      </c>
      <c r="H13" s="8" t="s">
        <v>16</v>
      </c>
      <c r="J13" s="8" t="s">
        <v>18</v>
      </c>
      <c r="L13" s="8" t="s">
        <v>19</v>
      </c>
      <c r="N13" s="8" t="s">
        <v>20</v>
      </c>
      <c r="O13" s="8" t="s">
        <v>21</v>
      </c>
      <c r="P13" s="8" t="s">
        <v>22</v>
      </c>
      <c r="Q13" s="8" t="s">
        <v>23</v>
      </c>
      <c r="R13" s="8" t="s">
        <v>16</v>
      </c>
      <c r="S13" s="8" t="s">
        <v>24</v>
      </c>
      <c r="T13" s="8" t="s">
        <v>16</v>
      </c>
      <c r="U13" s="8" t="s">
        <v>25</v>
      </c>
      <c r="V13" s="8" t="s">
        <v>26</v>
      </c>
    </row>
    <row r="14" customFormat="false" ht="15" hidden="false" customHeight="false" outlineLevel="0" collapsed="false">
      <c r="B14" s="4" t="s">
        <v>27</v>
      </c>
      <c r="C14" s="9" t="n">
        <v>0</v>
      </c>
      <c r="D14" s="9" t="n">
        <v>239895</v>
      </c>
      <c r="E14" s="9" t="n">
        <v>352500</v>
      </c>
      <c r="F14" s="10" t="n">
        <f aca="false">IFERROR(C14/E14,0)</f>
        <v>0</v>
      </c>
      <c r="G14" s="9" t="n">
        <v>0</v>
      </c>
      <c r="H14" s="10" t="n">
        <f aca="false">IFERROR(G14/E14,0)</f>
        <v>0</v>
      </c>
      <c r="J14" s="9" t="n">
        <v>0</v>
      </c>
      <c r="L14" s="9" t="n">
        <v>491054</v>
      </c>
      <c r="N14" s="9" t="n">
        <v>1172928</v>
      </c>
      <c r="O14" s="9" t="n">
        <v>1267368</v>
      </c>
      <c r="P14" s="10" t="n">
        <f aca="false">IFERROR(N14/O14,0)</f>
        <v>0.925483363947962</v>
      </c>
      <c r="Q14" s="9" t="n">
        <v>1474409</v>
      </c>
      <c r="R14" s="10" t="n">
        <f aca="false">IFERROR(N14/Q14,0)</f>
        <v>0.79552417273633</v>
      </c>
      <c r="S14" s="9" t="n">
        <v>3500000</v>
      </c>
      <c r="T14" s="10" t="n">
        <f aca="false">IFERROR(N14/S14,0)</f>
        <v>0.335122285714286</v>
      </c>
      <c r="U14" s="9" t="n">
        <v>2794760</v>
      </c>
      <c r="V14" s="10" t="n">
        <f aca="false">IFERROR(N14/U14,0)</f>
        <v>0.419688273769483</v>
      </c>
    </row>
    <row r="15" customFormat="false" ht="15" hidden="false" customHeight="false" outlineLevel="0" collapsed="false">
      <c r="B15" s="4" t="s">
        <v>28</v>
      </c>
      <c r="C15" s="9" t="n">
        <v>2609</v>
      </c>
      <c r="D15" s="9" t="n">
        <v>187602</v>
      </c>
      <c r="E15" s="9" t="n">
        <v>253000</v>
      </c>
      <c r="F15" s="10" t="n">
        <f aca="false">IFERROR(C15/E15,0)</f>
        <v>0.0103122529644269</v>
      </c>
      <c r="G15" s="9" t="n">
        <v>57404</v>
      </c>
      <c r="H15" s="10" t="n">
        <f aca="false">IFERROR(G15/E15,0)</f>
        <v>0.226893280632411</v>
      </c>
      <c r="J15" s="9" t="n">
        <v>2608</v>
      </c>
      <c r="L15" s="9" t="n">
        <v>197795</v>
      </c>
      <c r="N15" s="9" t="n">
        <v>1135437</v>
      </c>
      <c r="O15" s="9" t="n">
        <v>1200136</v>
      </c>
      <c r="P15" s="10" t="n">
        <f aca="false">IFERROR(N15/O15,0)</f>
        <v>0.946090276435337</v>
      </c>
      <c r="Q15" s="9" t="n">
        <v>1080953</v>
      </c>
      <c r="R15" s="10" t="n">
        <f aca="false">IFERROR(N15/Q15,0)</f>
        <v>1.05040367157499</v>
      </c>
      <c r="S15" s="9" t="n">
        <v>2566000</v>
      </c>
      <c r="T15" s="10" t="n">
        <f aca="false">IFERROR(N15/S15,0)</f>
        <v>0.442492985190959</v>
      </c>
      <c r="U15" s="9" t="n">
        <v>2165530</v>
      </c>
      <c r="V15" s="10" t="n">
        <f aca="false">IFERROR(N15/U15,0)</f>
        <v>0.524322914021048</v>
      </c>
    </row>
    <row r="16" customFormat="false" ht="15" hidden="false" customHeight="false" outlineLevel="0" collapsed="false">
      <c r="B16" s="4" t="s">
        <v>29</v>
      </c>
      <c r="C16" s="9" t="n">
        <v>1925</v>
      </c>
      <c r="D16" s="9" t="n">
        <v>321418</v>
      </c>
      <c r="E16" s="9" t="n">
        <v>406000</v>
      </c>
      <c r="F16" s="10" t="n">
        <f aca="false">IFERROR(C16/E16,0)</f>
        <v>0.00474137931034483</v>
      </c>
      <c r="G16" s="9" t="n">
        <v>42350</v>
      </c>
      <c r="H16" s="10" t="n">
        <f aca="false">IFERROR(G16/E16,0)</f>
        <v>0.104310344827586</v>
      </c>
      <c r="J16" s="9" t="n">
        <v>0</v>
      </c>
      <c r="L16" s="9" t="n">
        <v>264011</v>
      </c>
      <c r="N16" s="9" t="n">
        <v>1633995</v>
      </c>
      <c r="O16" s="9" t="n">
        <v>2093724</v>
      </c>
      <c r="P16" s="10" t="n">
        <f aca="false">IFERROR(N16/O16,0)</f>
        <v>0.780425213638474</v>
      </c>
      <c r="Q16" s="9" t="n">
        <v>1904937</v>
      </c>
      <c r="R16" s="10" t="n">
        <f aca="false">IFERROR(N16/Q16,0)</f>
        <v>0.857768524628374</v>
      </c>
      <c r="S16" s="9" t="n">
        <v>4522000</v>
      </c>
      <c r="T16" s="10" t="n">
        <f aca="false">IFERROR(N16/S16,0)</f>
        <v>0.361343432109686</v>
      </c>
      <c r="U16" s="9" t="n">
        <v>3820751</v>
      </c>
      <c r="V16" s="10" t="n">
        <f aca="false">IFERROR(N16/U16,0)</f>
        <v>0.427663304936647</v>
      </c>
    </row>
    <row r="17" customFormat="false" ht="15" hidden="false" customHeight="false" outlineLevel="0" collapsed="false">
      <c r="B17" s="4" t="s">
        <v>30</v>
      </c>
      <c r="C17" s="9" t="n">
        <v>0</v>
      </c>
      <c r="D17" s="9" t="n">
        <v>3848</v>
      </c>
      <c r="E17" s="9" t="n">
        <v>35000</v>
      </c>
      <c r="F17" s="10" t="n">
        <f aca="false">IFERROR(C17/E17,0)</f>
        <v>0</v>
      </c>
      <c r="G17" s="9" t="n">
        <v>0</v>
      </c>
      <c r="H17" s="10" t="n">
        <f aca="false">IFERROR(G17/E17,0)</f>
        <v>0</v>
      </c>
      <c r="J17" s="9" t="n">
        <v>0</v>
      </c>
      <c r="L17" s="9" t="n">
        <v>16544</v>
      </c>
      <c r="N17" s="9" t="n">
        <v>51293</v>
      </c>
      <c r="O17" s="9" t="n">
        <v>72500</v>
      </c>
      <c r="P17" s="10" t="n">
        <f aca="false">IFERROR(N17/O17,0)</f>
        <v>0.707489655172414</v>
      </c>
      <c r="Q17" s="9" t="n">
        <v>471811</v>
      </c>
      <c r="R17" s="10" t="n">
        <f aca="false">IFERROR(N17/Q17,0)</f>
        <v>0.108715142292147</v>
      </c>
      <c r="S17" s="9" t="n">
        <v>1120000</v>
      </c>
      <c r="T17" s="10" t="n">
        <f aca="false">IFERROR(N17/S17,0)</f>
        <v>0.0457973214285714</v>
      </c>
      <c r="U17" s="9" t="n">
        <v>137530</v>
      </c>
      <c r="V17" s="10" t="n">
        <f aca="false">IFERROR(N17/U17,0)</f>
        <v>0.372958627208609</v>
      </c>
    </row>
    <row r="18" customFormat="false" ht="15" hidden="false" customHeight="false" outlineLevel="0" collapsed="false">
      <c r="B18" s="4" t="s">
        <v>31</v>
      </c>
      <c r="C18" s="9" t="n">
        <v>0</v>
      </c>
      <c r="D18" s="9" t="n">
        <v>16997</v>
      </c>
      <c r="E18" s="9" t="n">
        <v>65000</v>
      </c>
      <c r="F18" s="10" t="n">
        <f aca="false">IFERROR(C18/E18,0)</f>
        <v>0</v>
      </c>
      <c r="G18" s="9" t="n">
        <v>0</v>
      </c>
      <c r="H18" s="10" t="n">
        <f aca="false">IFERROR(G18/E18,0)</f>
        <v>0</v>
      </c>
      <c r="J18" s="9" t="n">
        <v>0</v>
      </c>
      <c r="L18" s="9" t="n">
        <v>46692</v>
      </c>
      <c r="N18" s="9" t="n">
        <v>154713</v>
      </c>
      <c r="O18" s="9" t="n">
        <v>176545</v>
      </c>
      <c r="P18" s="10" t="n">
        <f aca="false">IFERROR(N18/O18,0)</f>
        <v>0.876337477696905</v>
      </c>
      <c r="Q18" s="9" t="n">
        <v>252756</v>
      </c>
      <c r="R18" s="10" t="n">
        <f aca="false">IFERROR(N18/Q18,0)</f>
        <v>0.612104163699378</v>
      </c>
      <c r="S18" s="9" t="n">
        <v>600000</v>
      </c>
      <c r="T18" s="10" t="n">
        <f aca="false">IFERROR(N18/S18,0)</f>
        <v>0.257855</v>
      </c>
      <c r="U18" s="9" t="n">
        <v>322611</v>
      </c>
      <c r="V18" s="10" t="n">
        <f aca="false">IFERROR(N18/U18,0)</f>
        <v>0.479565172917229</v>
      </c>
    </row>
    <row r="19" customFormat="false" ht="15" hidden="false" customHeight="false" outlineLevel="0" collapsed="false">
      <c r="B19" s="4" t="s">
        <v>32</v>
      </c>
      <c r="C19" s="9" t="n">
        <v>725</v>
      </c>
      <c r="D19" s="9" t="n">
        <v>27403</v>
      </c>
      <c r="E19" s="9" t="n">
        <v>113835</v>
      </c>
      <c r="F19" s="10" t="n">
        <f aca="false">IFERROR(C19/E19,0)</f>
        <v>0.00636886722009927</v>
      </c>
      <c r="G19" s="9" t="n">
        <v>15946</v>
      </c>
      <c r="H19" s="10" t="n">
        <f aca="false">IFERROR(G19/E19,0)</f>
        <v>0.140079940264418</v>
      </c>
      <c r="J19" s="9" t="n">
        <v>0</v>
      </c>
      <c r="L19" s="9" t="n">
        <v>119335</v>
      </c>
      <c r="N19" s="9" t="n">
        <v>388542</v>
      </c>
      <c r="O19" s="9" t="n">
        <v>172754</v>
      </c>
      <c r="P19" s="10" t="n">
        <f aca="false">IFERROR(N19/O19,0)</f>
        <v>2.24910566470241</v>
      </c>
      <c r="Q19" s="9" t="n">
        <v>368457</v>
      </c>
      <c r="R19" s="10" t="n">
        <f aca="false">IFERROR(N19/Q19,0)</f>
        <v>1.05451110984457</v>
      </c>
      <c r="S19" s="9" t="n">
        <v>874656</v>
      </c>
      <c r="T19" s="10" t="n">
        <f aca="false">IFERROR(N19/S19,0)</f>
        <v>0.444222642959061</v>
      </c>
      <c r="U19" s="9" t="n">
        <v>466087</v>
      </c>
      <c r="V19" s="10" t="n">
        <f aca="false">IFERROR(N19/U19,0)</f>
        <v>0.833625481937921</v>
      </c>
    </row>
    <row r="20" customFormat="false" ht="15" hidden="false" customHeight="false" outlineLevel="0" collapsed="false">
      <c r="B20" s="4" t="s">
        <v>33</v>
      </c>
      <c r="C20" s="9" t="n">
        <v>0</v>
      </c>
      <c r="D20" s="9" t="n">
        <v>58240</v>
      </c>
      <c r="E20" s="9" t="n">
        <v>35000</v>
      </c>
      <c r="F20" s="10" t="n">
        <f aca="false">IFERROR(C20/E20,0)</f>
        <v>0</v>
      </c>
      <c r="G20" s="9" t="n">
        <v>0</v>
      </c>
      <c r="H20" s="10" t="n">
        <f aca="false">IFERROR(G20/E20,0)</f>
        <v>0</v>
      </c>
      <c r="J20" s="9" t="n">
        <v>0</v>
      </c>
      <c r="L20" s="9" t="n">
        <v>0</v>
      </c>
      <c r="N20" s="9" t="n">
        <v>54345</v>
      </c>
      <c r="O20" s="9" t="n">
        <v>205985</v>
      </c>
      <c r="P20" s="10" t="n">
        <f aca="false">IFERROR(N20/O20,0)</f>
        <v>0.263829890526009</v>
      </c>
      <c r="Q20" s="9" t="n">
        <v>252756</v>
      </c>
      <c r="R20" s="10" t="n">
        <f aca="false">IFERROR(N20/Q20,0)</f>
        <v>0.215009732706642</v>
      </c>
      <c r="S20" s="9" t="n">
        <v>600000</v>
      </c>
      <c r="T20" s="10" t="n">
        <f aca="false">IFERROR(N20/S20,0)</f>
        <v>0.090575</v>
      </c>
      <c r="U20" s="9" t="n">
        <v>337325</v>
      </c>
      <c r="V20" s="10" t="n">
        <f aca="false">IFERROR(N20/U20,0)</f>
        <v>0.161105758541466</v>
      </c>
    </row>
    <row r="21" customFormat="false" ht="15" hidden="false" customHeight="false" outlineLevel="0" collapsed="false">
      <c r="B21" s="4" t="s">
        <v>34</v>
      </c>
      <c r="C21" s="9" t="n">
        <v>3767</v>
      </c>
      <c r="D21" s="9" t="n">
        <v>32855</v>
      </c>
      <c r="E21" s="9" t="n">
        <v>110000</v>
      </c>
      <c r="F21" s="10" t="n">
        <f aca="false">IFERROR(C21/E21,0)</f>
        <v>0.0342454545454545</v>
      </c>
      <c r="G21" s="9" t="n">
        <v>82874</v>
      </c>
      <c r="H21" s="10" t="n">
        <f aca="false">IFERROR(G21/E21,0)</f>
        <v>0.7534</v>
      </c>
      <c r="J21" s="9" t="n">
        <v>0</v>
      </c>
      <c r="L21" s="9" t="n">
        <v>20920</v>
      </c>
      <c r="N21" s="9" t="n">
        <v>226360</v>
      </c>
      <c r="O21" s="9" t="n">
        <v>375464</v>
      </c>
      <c r="P21" s="10" t="n">
        <f aca="false">IFERROR(N21/O21,0)</f>
        <v>0.602880702277715</v>
      </c>
      <c r="Q21" s="9" t="n">
        <v>398512</v>
      </c>
      <c r="R21" s="10" t="n">
        <f aca="false">IFERROR(N21/Q21,0)</f>
        <v>0.568013008391215</v>
      </c>
      <c r="S21" s="9" t="n">
        <v>946000</v>
      </c>
      <c r="T21" s="10" t="n">
        <f aca="false">IFERROR(N21/S21,0)</f>
        <v>0.239281183932347</v>
      </c>
      <c r="U21" s="9" t="n">
        <v>718725</v>
      </c>
      <c r="V21" s="10" t="n">
        <f aca="false">IFERROR(N21/U21,0)</f>
        <v>0.314946606838499</v>
      </c>
    </row>
    <row r="22" customFormat="false" ht="15" hidden="false" customHeight="false" outlineLevel="0" collapsed="false">
      <c r="B22" s="4" t="s">
        <v>35</v>
      </c>
      <c r="C22" s="9" t="n">
        <v>0</v>
      </c>
      <c r="D22" s="9" t="n">
        <v>42171</v>
      </c>
      <c r="E22" s="9" t="n">
        <v>79087</v>
      </c>
      <c r="F22" s="10" t="n">
        <f aca="false">IFERROR(C22/E22,0)</f>
        <v>0</v>
      </c>
      <c r="G22" s="9" t="n">
        <v>0</v>
      </c>
      <c r="H22" s="10" t="n">
        <f aca="false">IFERROR(G22/E22,0)</f>
        <v>0</v>
      </c>
      <c r="J22" s="9" t="n">
        <v>0</v>
      </c>
      <c r="L22" s="9" t="n">
        <v>111783</v>
      </c>
      <c r="N22" s="9" t="n">
        <v>310174</v>
      </c>
      <c r="O22" s="9" t="n">
        <v>460625</v>
      </c>
      <c r="P22" s="10" t="n">
        <f aca="false">IFERROR(N22/O22,0)</f>
        <v>0.673376390773406</v>
      </c>
      <c r="Q22" s="9" t="n">
        <v>406743</v>
      </c>
      <c r="R22" s="10" t="n">
        <f aca="false">IFERROR(N22/Q22,0)</f>
        <v>0.762579810838785</v>
      </c>
      <c r="S22" s="9" t="n">
        <v>965540</v>
      </c>
      <c r="T22" s="10" t="n">
        <f aca="false">IFERROR(N22/S22,0)</f>
        <v>0.321244070675477</v>
      </c>
      <c r="U22" s="9" t="n">
        <v>777608</v>
      </c>
      <c r="V22" s="10" t="n">
        <f aca="false">IFERROR(N22/U22,0)</f>
        <v>0.398882213145955</v>
      </c>
    </row>
    <row r="23" customFormat="false" ht="15" hidden="false" customHeight="false" outlineLevel="0" collapsed="false">
      <c r="B23" s="11" t="s">
        <v>36</v>
      </c>
      <c r="C23" s="12" t="n">
        <v>9026</v>
      </c>
      <c r="D23" s="12" t="n">
        <v>930430</v>
      </c>
      <c r="E23" s="12" t="n">
        <v>1449422</v>
      </c>
      <c r="F23" s="13" t="n">
        <f aca="false">IFERROR(C23/E23,0)</f>
        <v>0.00622730992078222</v>
      </c>
      <c r="G23" s="12" t="n">
        <v>198574</v>
      </c>
      <c r="H23" s="13" t="n">
        <f aca="false">IFERROR(G23/E23,0)</f>
        <v>0.137002198117594</v>
      </c>
      <c r="J23" s="12" t="n">
        <v>2608</v>
      </c>
      <c r="L23" s="12" t="n">
        <v>1268134</v>
      </c>
      <c r="N23" s="12" t="n">
        <v>5127785</v>
      </c>
      <c r="O23" s="12" t="n">
        <v>6025101</v>
      </c>
      <c r="P23" s="13" t="n">
        <f aca="false">IFERROR(N23/O23,0)</f>
        <v>0.851070380396943</v>
      </c>
      <c r="Q23" s="12" t="n">
        <v>6611335</v>
      </c>
      <c r="R23" s="13" t="n">
        <f aca="false">IFERROR(N23/Q23,0)</f>
        <v>0.775605078248191</v>
      </c>
      <c r="S23" s="12" t="n">
        <v>15694196</v>
      </c>
      <c r="T23" s="13" t="n">
        <f aca="false">IFERROR(N23/S23,0)</f>
        <v>0.326731296079137</v>
      </c>
      <c r="U23" s="12" t="n">
        <v>11540927</v>
      </c>
      <c r="V23" s="13" t="n">
        <f aca="false">IFERROR(N23/U23,0)</f>
        <v>0.44431309547318</v>
      </c>
    </row>
    <row r="25" customFormat="false" ht="15" hidden="false" customHeight="false" outlineLevel="0" collapsed="false">
      <c r="B25" s="4" t="s">
        <v>37</v>
      </c>
      <c r="C25" s="9" t="n">
        <v>0</v>
      </c>
      <c r="D25" s="9" t="n">
        <v>0</v>
      </c>
      <c r="E25" s="9" t="n">
        <v>0</v>
      </c>
      <c r="F25" s="10" t="n">
        <f aca="false">IFERROR(C25/E25,0)</f>
        <v>0</v>
      </c>
      <c r="G25" s="9" t="n">
        <v>0</v>
      </c>
      <c r="H25" s="10" t="n">
        <f aca="false">IFERROR(G25/E25,0)</f>
        <v>0</v>
      </c>
      <c r="J25" s="9" t="n">
        <v>0</v>
      </c>
      <c r="L25" s="9" t="n">
        <v>41215</v>
      </c>
      <c r="N25" s="9" t="n">
        <v>41228</v>
      </c>
      <c r="O25" s="9" t="n">
        <v>0</v>
      </c>
      <c r="P25" s="10" t="n">
        <f aca="false">IFERROR(N25/O25,0)</f>
        <v>0</v>
      </c>
      <c r="Q25" s="9" t="n">
        <v>0</v>
      </c>
      <c r="R25" s="10" t="n">
        <f aca="false">IFERROR(N25/Q25,0)</f>
        <v>0</v>
      </c>
      <c r="S25" s="9" t="n">
        <v>0</v>
      </c>
      <c r="T25" s="10" t="n">
        <f aca="false">IFERROR(N25/S25,0)</f>
        <v>0</v>
      </c>
      <c r="U25" s="9" t="n">
        <v>0</v>
      </c>
      <c r="V25" s="10" t="n">
        <f aca="false">IFERROR(N25/U25,0)</f>
        <v>0</v>
      </c>
    </row>
    <row r="26" customFormat="false" ht="15" hidden="false" customHeight="false" outlineLevel="0" collapsed="false">
      <c r="B26" s="4" t="s">
        <v>38</v>
      </c>
      <c r="C26" s="9" t="n">
        <v>0</v>
      </c>
      <c r="D26" s="9" t="n">
        <v>1556</v>
      </c>
      <c r="E26" s="9" t="n">
        <v>5000</v>
      </c>
      <c r="F26" s="10" t="n">
        <f aca="false">IFERROR(C26/E26,0)</f>
        <v>0</v>
      </c>
      <c r="G26" s="9" t="n">
        <v>0</v>
      </c>
      <c r="H26" s="10" t="n">
        <f aca="false">IFERROR(G26/E26,0)</f>
        <v>0</v>
      </c>
      <c r="J26" s="9" t="n">
        <v>0</v>
      </c>
      <c r="L26" s="9" t="n">
        <v>4487</v>
      </c>
      <c r="N26" s="9" t="n">
        <v>58844</v>
      </c>
      <c r="O26" s="9" t="n">
        <v>17016</v>
      </c>
      <c r="P26" s="10" t="n">
        <f aca="false">IFERROR(N26/O26,0)</f>
        <v>3.45815702867889</v>
      </c>
      <c r="Q26" s="9" t="n">
        <v>15000</v>
      </c>
      <c r="R26" s="10" t="n">
        <f aca="false">IFERROR(N26/Q26,0)</f>
        <v>3.92293333333333</v>
      </c>
      <c r="S26" s="9" t="n">
        <v>60000</v>
      </c>
      <c r="T26" s="10" t="n">
        <f aca="false">IFERROR(N26/S26,0)</f>
        <v>0.980733333333333</v>
      </c>
      <c r="U26" s="9" t="n">
        <v>62378</v>
      </c>
      <c r="V26" s="10" t="n">
        <f aca="false">IFERROR(N26/U26,0)</f>
        <v>0.94334541024079</v>
      </c>
    </row>
    <row r="27" customFormat="false" ht="15" hidden="false" customHeight="false" outlineLevel="0" collapsed="false">
      <c r="B27" s="4" t="s">
        <v>39</v>
      </c>
      <c r="C27" s="9" t="n">
        <v>0</v>
      </c>
      <c r="D27" s="9" t="n">
        <v>7137</v>
      </c>
      <c r="E27" s="9" t="n">
        <v>0</v>
      </c>
      <c r="F27" s="10" t="n">
        <f aca="false">IFERROR(C27/E27,0)</f>
        <v>0</v>
      </c>
      <c r="G27" s="9" t="n">
        <v>0</v>
      </c>
      <c r="H27" s="10" t="n">
        <f aca="false">IFERROR(G27/E27,0)</f>
        <v>0</v>
      </c>
      <c r="J27" s="9" t="n">
        <v>0</v>
      </c>
      <c r="L27" s="9" t="n">
        <v>0</v>
      </c>
      <c r="N27" s="9" t="n">
        <v>2084</v>
      </c>
      <c r="O27" s="9" t="n">
        <v>56083</v>
      </c>
      <c r="P27" s="10" t="n">
        <f aca="false">IFERROR(N27/O27,0)</f>
        <v>0.0371592104559314</v>
      </c>
      <c r="Q27" s="9" t="n">
        <v>0</v>
      </c>
      <c r="R27" s="10" t="n">
        <f aca="false">IFERROR(N27/Q27,0)</f>
        <v>0</v>
      </c>
      <c r="S27" s="9" t="n">
        <v>0</v>
      </c>
      <c r="T27" s="10" t="n">
        <f aca="false">IFERROR(N27/S27,0)</f>
        <v>0</v>
      </c>
      <c r="U27" s="9" t="n">
        <v>82466</v>
      </c>
      <c r="V27" s="10" t="n">
        <f aca="false">IFERROR(N27/U27,0)</f>
        <v>0.0252710207843232</v>
      </c>
    </row>
    <row r="28" customFormat="false" ht="15" hidden="false" customHeight="false" outlineLevel="0" collapsed="false">
      <c r="B28" s="4" t="s">
        <v>40</v>
      </c>
      <c r="C28" s="9" t="n">
        <v>0</v>
      </c>
      <c r="D28" s="9" t="n">
        <v>0</v>
      </c>
      <c r="E28" s="9" t="n">
        <v>0</v>
      </c>
      <c r="F28" s="10" t="n">
        <f aca="false">IFERROR(C28/E28,0)</f>
        <v>0</v>
      </c>
      <c r="G28" s="9" t="n">
        <v>0</v>
      </c>
      <c r="H28" s="10" t="n">
        <f aca="false">IFERROR(G28/E28,0)</f>
        <v>0</v>
      </c>
      <c r="J28" s="9" t="n">
        <v>0</v>
      </c>
      <c r="L28" s="9" t="n">
        <v>192</v>
      </c>
      <c r="N28" s="9" t="n">
        <v>21070</v>
      </c>
      <c r="O28" s="9" t="n">
        <v>2093</v>
      </c>
      <c r="P28" s="10" t="n">
        <f aca="false">IFERROR(N28/O28,0)</f>
        <v>10.066889632107</v>
      </c>
      <c r="Q28" s="9" t="n">
        <v>0</v>
      </c>
      <c r="R28" s="10" t="n">
        <f aca="false">IFERROR(N28/Q28,0)</f>
        <v>0</v>
      </c>
      <c r="S28" s="9" t="n">
        <v>0</v>
      </c>
      <c r="T28" s="10" t="n">
        <f aca="false">IFERROR(N28/S28,0)</f>
        <v>0</v>
      </c>
      <c r="U28" s="9" t="n">
        <v>2093</v>
      </c>
      <c r="V28" s="10" t="n">
        <f aca="false">IFERROR(N28/U28,0)</f>
        <v>10.066889632107</v>
      </c>
    </row>
    <row r="29" customFormat="false" ht="15" hidden="false" customHeight="false" outlineLevel="0" collapsed="false">
      <c r="B29" s="4" t="s">
        <v>41</v>
      </c>
      <c r="C29" s="9" t="n">
        <v>0</v>
      </c>
      <c r="D29" s="9" t="n">
        <v>40809</v>
      </c>
      <c r="E29" s="9" t="n">
        <v>25000</v>
      </c>
      <c r="F29" s="10" t="n">
        <f aca="false">IFERROR(C29/E29,0)</f>
        <v>0</v>
      </c>
      <c r="G29" s="9" t="n">
        <v>0</v>
      </c>
      <c r="H29" s="10" t="n">
        <f aca="false">IFERROR(G29/E29,0)</f>
        <v>0</v>
      </c>
      <c r="J29" s="9" t="n">
        <v>0</v>
      </c>
      <c r="L29" s="9" t="n">
        <v>11131</v>
      </c>
      <c r="N29" s="9" t="n">
        <v>91586</v>
      </c>
      <c r="O29" s="9" t="n">
        <v>134113</v>
      </c>
      <c r="P29" s="10" t="n">
        <f aca="false">IFERROR(N29/O29,0)</f>
        <v>0.68290173212142</v>
      </c>
      <c r="Q29" s="9" t="n">
        <v>65000</v>
      </c>
      <c r="R29" s="10" t="n">
        <f aca="false">IFERROR(N29/Q29,0)</f>
        <v>1.40901538461538</v>
      </c>
      <c r="S29" s="9" t="n">
        <v>265000</v>
      </c>
      <c r="T29" s="10" t="n">
        <f aca="false">IFERROR(N29/S29,0)</f>
        <v>0.345607547169811</v>
      </c>
      <c r="U29" s="9" t="n">
        <v>261659</v>
      </c>
      <c r="V29" s="10" t="n">
        <f aca="false">IFERROR(N29/U29,0)</f>
        <v>0.350020446458941</v>
      </c>
    </row>
    <row r="30" customFormat="false" ht="15" hidden="false" customHeight="false" outlineLevel="0" collapsed="false">
      <c r="B30" s="14" t="s">
        <v>42</v>
      </c>
      <c r="C30" s="15" t="n">
        <v>9026</v>
      </c>
      <c r="D30" s="15" t="n">
        <v>979932</v>
      </c>
      <c r="E30" s="15" t="n">
        <v>1479422</v>
      </c>
      <c r="F30" s="16" t="n">
        <f aca="false">IFERROR(C30/E30,0)</f>
        <v>0.00610103134872944</v>
      </c>
      <c r="G30" s="15" t="n">
        <v>198574</v>
      </c>
      <c r="H30" s="16" t="n">
        <f aca="false">IFERROR(G30/E30,0)</f>
        <v>0.134224041551363</v>
      </c>
      <c r="J30" s="15" t="n">
        <v>2608</v>
      </c>
      <c r="L30" s="15" t="n">
        <v>1325159</v>
      </c>
      <c r="N30" s="15" t="n">
        <v>5342597</v>
      </c>
      <c r="O30" s="15" t="n">
        <v>6234406</v>
      </c>
      <c r="P30" s="16" t="n">
        <f aca="false">IFERROR(N30/O30,0)</f>
        <v>0.856953653643988</v>
      </c>
      <c r="Q30" s="15" t="n">
        <v>6691335</v>
      </c>
      <c r="R30" s="16" t="n">
        <f aca="false">IFERROR(N30/Q30,0)</f>
        <v>0.798435140371839</v>
      </c>
      <c r="S30" s="15" t="n">
        <v>16019196</v>
      </c>
      <c r="T30" s="16" t="n">
        <f aca="false">IFERROR(N30/S30,0)</f>
        <v>0.333512181260533</v>
      </c>
      <c r="U30" s="15" t="n">
        <v>11949524</v>
      </c>
      <c r="V30" s="16" t="n">
        <f aca="false">IFERROR(N30/U30,0)</f>
        <v>0.447097055916202</v>
      </c>
    </row>
    <row r="33" customFormat="false" ht="15" hidden="false" customHeight="false" outlineLevel="0" collapsed="false">
      <c r="C33" s="7" t="s">
        <v>9</v>
      </c>
      <c r="J33" s="7" t="s">
        <v>43</v>
      </c>
      <c r="N33" s="7" t="s">
        <v>11</v>
      </c>
      <c r="P33" s="7" t="s">
        <v>44</v>
      </c>
    </row>
    <row r="35" customFormat="false" ht="15" hidden="false" customHeight="false" outlineLevel="0" collapsed="false">
      <c r="C35" s="8" t="s">
        <v>13</v>
      </c>
      <c r="E35" s="8" t="s">
        <v>15</v>
      </c>
      <c r="F35" s="8" t="s">
        <v>16</v>
      </c>
      <c r="J35" s="8" t="s">
        <v>18</v>
      </c>
      <c r="K35" s="8" t="s">
        <v>45</v>
      </c>
      <c r="L35" s="8" t="s">
        <v>46</v>
      </c>
      <c r="N35" s="8" t="s">
        <v>19</v>
      </c>
      <c r="P35" s="8" t="s">
        <v>20</v>
      </c>
      <c r="Q35" s="8" t="s">
        <v>47</v>
      </c>
      <c r="R35" s="8" t="s">
        <v>46</v>
      </c>
    </row>
    <row r="36" customFormat="false" ht="15" hidden="false" customHeight="false" outlineLevel="0" collapsed="false">
      <c r="B36" s="4" t="s">
        <v>48</v>
      </c>
      <c r="C36" s="9" t="n">
        <v>6417</v>
      </c>
      <c r="E36" s="9" t="n">
        <v>922307</v>
      </c>
      <c r="F36" s="10" t="n">
        <f aca="false">IFERROR(C36/E36,0)</f>
        <v>0.00695755317914751</v>
      </c>
      <c r="J36" s="9" t="n">
        <v>0</v>
      </c>
      <c r="K36" s="9" t="n">
        <v>1034926</v>
      </c>
      <c r="L36" s="10" t="n">
        <f aca="false">IFERROR(J36/K36,0)</f>
        <v>0</v>
      </c>
      <c r="N36" s="9" t="n">
        <v>564649</v>
      </c>
      <c r="P36" s="9" t="n">
        <v>3472174</v>
      </c>
    </row>
    <row r="37" customFormat="false" ht="15" hidden="false" customHeight="false" outlineLevel="0" collapsed="false">
      <c r="B37" s="4" t="s">
        <v>49</v>
      </c>
      <c r="C37" s="9" t="n">
        <v>2609</v>
      </c>
      <c r="E37" s="9" t="n">
        <v>345615</v>
      </c>
      <c r="F37" s="10" t="n">
        <f aca="false">IFERROR(C37/E37,0)</f>
        <v>0.00754886217322744</v>
      </c>
      <c r="J37" s="9" t="n">
        <v>2608</v>
      </c>
      <c r="K37" s="9" t="n">
        <v>346129</v>
      </c>
      <c r="L37" s="10" t="n">
        <f aca="false">IFERROR(J37/K37,0)</f>
        <v>0.00753476305077009</v>
      </c>
      <c r="N37" s="9" t="n">
        <v>557705</v>
      </c>
      <c r="P37" s="9" t="n">
        <v>729635</v>
      </c>
    </row>
    <row r="38" customFormat="false" ht="15" hidden="false" customHeight="false" outlineLevel="0" collapsed="false">
      <c r="B38" s="4" t="s">
        <v>50</v>
      </c>
      <c r="C38" s="9" t="n">
        <v>0</v>
      </c>
      <c r="E38" s="9" t="n">
        <v>54500</v>
      </c>
      <c r="F38" s="10" t="n">
        <f aca="false">IFERROR(C38/E38,0)</f>
        <v>0</v>
      </c>
      <c r="J38" s="9" t="n">
        <v>0</v>
      </c>
      <c r="K38" s="9" t="n">
        <v>24961</v>
      </c>
      <c r="L38" s="10" t="n">
        <f aca="false">IFERROR(J38/K38,0)</f>
        <v>0</v>
      </c>
      <c r="N38" s="9" t="n">
        <v>0</v>
      </c>
      <c r="P38" s="9" t="n">
        <v>32032</v>
      </c>
    </row>
    <row r="39" customFormat="false" ht="15" hidden="false" customHeight="false" outlineLevel="0" collapsed="false">
      <c r="B39" s="4" t="s">
        <v>51</v>
      </c>
      <c r="C39" s="9" t="n">
        <v>0</v>
      </c>
      <c r="E39" s="9" t="n">
        <v>57000</v>
      </c>
      <c r="F39" s="10" t="n">
        <f aca="false">IFERROR(C39/E39,0)</f>
        <v>0</v>
      </c>
      <c r="J39" s="9" t="n">
        <v>0</v>
      </c>
      <c r="K39" s="9" t="n">
        <v>27961</v>
      </c>
      <c r="L39" s="10" t="n">
        <f aca="false">IFERROR(J39/K39,0)</f>
        <v>0</v>
      </c>
      <c r="N39" s="9" t="n">
        <v>0</v>
      </c>
      <c r="P39" s="9" t="n">
        <v>130637</v>
      </c>
    </row>
    <row r="40" customFormat="false" ht="15" hidden="false" customHeight="false" outlineLevel="0" collapsed="false">
      <c r="B40" s="4" t="s">
        <v>52</v>
      </c>
      <c r="C40" s="9" t="n">
        <v>0</v>
      </c>
      <c r="E40" s="9" t="n">
        <v>100000</v>
      </c>
      <c r="F40" s="10" t="n">
        <f aca="false">IFERROR(C40/E40,0)</f>
        <v>0</v>
      </c>
      <c r="J40" s="9" t="n">
        <v>0</v>
      </c>
      <c r="K40" s="9" t="n">
        <v>99999</v>
      </c>
      <c r="L40" s="10" t="n">
        <f aca="false">IFERROR(J40/K40,0)</f>
        <v>0</v>
      </c>
      <c r="N40" s="9" t="n">
        <v>186261</v>
      </c>
      <c r="P40" s="9" t="n">
        <v>243378</v>
      </c>
    </row>
    <row r="41" customFormat="false" ht="15" hidden="false" customHeight="false" outlineLevel="0" collapsed="false">
      <c r="B41" s="4" t="s">
        <v>53</v>
      </c>
      <c r="C41" s="9" t="n">
        <v>0</v>
      </c>
      <c r="E41" s="9" t="n">
        <v>0</v>
      </c>
      <c r="F41" s="10" t="n">
        <f aca="false">IFERROR(C41/E41,0)</f>
        <v>0</v>
      </c>
      <c r="J41" s="9" t="n">
        <v>0</v>
      </c>
      <c r="K41" s="9" t="n">
        <v>0</v>
      </c>
      <c r="L41" s="10" t="n">
        <f aca="false">IFERROR(J41/K41,0)</f>
        <v>0</v>
      </c>
      <c r="N41" s="9" t="n">
        <v>16544</v>
      </c>
      <c r="P41" s="9" t="n">
        <v>0</v>
      </c>
    </row>
    <row r="42" customFormat="false" ht="15" hidden="false" customHeight="false" outlineLevel="0" collapsed="false">
      <c r="B42" s="4" t="s">
        <v>54</v>
      </c>
      <c r="C42" s="9" t="n">
        <v>0</v>
      </c>
      <c r="E42" s="9" t="n">
        <v>0</v>
      </c>
      <c r="F42" s="10" t="n">
        <f aca="false">IFERROR(C42/E42,0)</f>
        <v>0</v>
      </c>
      <c r="J42" s="9" t="n">
        <v>0</v>
      </c>
      <c r="K42" s="9" t="n">
        <v>0</v>
      </c>
      <c r="L42" s="10" t="n">
        <f aca="false">IFERROR(J42/K42,0)</f>
        <v>0</v>
      </c>
      <c r="N42" s="9" t="n">
        <v>0</v>
      </c>
      <c r="P42" s="9" t="n">
        <v>0</v>
      </c>
    </row>
    <row r="43" customFormat="false" ht="15" hidden="false" customHeight="false" outlineLevel="0" collapsed="false">
      <c r="B43" s="11" t="s">
        <v>55</v>
      </c>
      <c r="C43" s="12" t="n">
        <v>9026</v>
      </c>
      <c r="E43" s="12" t="n">
        <v>1479422</v>
      </c>
      <c r="F43" s="13" t="n">
        <f aca="false">IFERROR(C43/E43,0)</f>
        <v>0.00610103134872944</v>
      </c>
      <c r="J43" s="12" t="n">
        <v>2608</v>
      </c>
      <c r="K43" s="12" t="n">
        <v>1533976</v>
      </c>
      <c r="L43" s="13" t="n">
        <f aca="false">IFERROR(J43/K43,0)</f>
        <v>0.00170015697768414</v>
      </c>
      <c r="N43" s="12" t="n">
        <v>1325159</v>
      </c>
      <c r="P43" s="12" t="n">
        <v>4607857</v>
      </c>
    </row>
    <row r="44" customFormat="false" ht="15" hidden="false" customHeight="false" outlineLevel="0" collapsed="false">
      <c r="B44" s="4" t="s">
        <v>56</v>
      </c>
      <c r="C44" s="9" t="n">
        <v>0</v>
      </c>
      <c r="E44" s="9" t="n">
        <v>0</v>
      </c>
      <c r="F44" s="10" t="n">
        <f aca="false">IFERROR(C44/E44,0)</f>
        <v>0</v>
      </c>
      <c r="J44" s="9" t="n">
        <v>0</v>
      </c>
      <c r="K44" s="9" t="n">
        <v>83162</v>
      </c>
      <c r="L44" s="10" t="n">
        <f aca="false">IFERROR(J44/K44,0)</f>
        <v>0</v>
      </c>
      <c r="N44" s="9" t="n">
        <v>0</v>
      </c>
      <c r="P44" s="9" t="n">
        <v>292273</v>
      </c>
    </row>
    <row r="45" customFormat="false" ht="15" hidden="false" customHeight="false" outlineLevel="0" collapsed="false">
      <c r="B45" s="14" t="s">
        <v>57</v>
      </c>
      <c r="C45" s="15" t="n">
        <v>9026</v>
      </c>
      <c r="E45" s="15" t="n">
        <v>0</v>
      </c>
      <c r="F45" s="16" t="n">
        <f aca="false">IFERROR(C45/E45,0)</f>
        <v>0</v>
      </c>
      <c r="J45" s="15" t="n">
        <v>2608</v>
      </c>
      <c r="K45" s="15" t="n">
        <v>1617138</v>
      </c>
      <c r="L45" s="16" t="n">
        <f aca="false">IFERROR(J45/K45,0)</f>
        <v>0.00161272569193229</v>
      </c>
      <c r="N45" s="15" t="n">
        <v>1325159</v>
      </c>
      <c r="P45" s="15" t="n">
        <v>4900130</v>
      </c>
      <c r="Q45" s="15" t="n">
        <v>6713948</v>
      </c>
      <c r="R45" s="16" t="n">
        <f aca="false">IFERROR(P45/Q45,0)</f>
        <v>0.72984330531008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7" t="s">
        <v>58</v>
      </c>
    </row>
    <row r="4" customFormat="false" ht="15" hidden="false" customHeight="false" outlineLevel="0" collapsed="false">
      <c r="A4" s="18" t="s">
        <v>59</v>
      </c>
      <c r="B4" s="18" t="s">
        <v>60</v>
      </c>
      <c r="C4" s="18" t="s">
        <v>61</v>
      </c>
      <c r="D4" s="18" t="s">
        <v>62</v>
      </c>
      <c r="E4" s="18" t="s">
        <v>63</v>
      </c>
      <c r="F4" s="18" t="s">
        <v>64</v>
      </c>
      <c r="G4" s="18" t="s">
        <v>65</v>
      </c>
    </row>
    <row r="5" customFormat="false" ht="15" hidden="false" customHeight="false" outlineLevel="0" collapsed="false">
      <c r="A5" s="4" t="s">
        <v>38</v>
      </c>
      <c r="B5" s="9" t="n">
        <v>20883.4</v>
      </c>
      <c r="C5" s="9" t="n">
        <v>8092.18</v>
      </c>
      <c r="D5" s="9" t="n">
        <v>4557.53</v>
      </c>
      <c r="E5" s="9" t="n">
        <v>11196.48</v>
      </c>
      <c r="F5" s="9" t="n">
        <v>3106.62</v>
      </c>
      <c r="G5" s="9" t="n">
        <f aca="false">SUM(B5:F5)</f>
        <v>47836.21</v>
      </c>
    </row>
    <row r="6" customFormat="false" ht="15" hidden="false" customHeight="false" outlineLevel="0" collapsed="false">
      <c r="A6" s="4" t="s">
        <v>27</v>
      </c>
      <c r="B6" s="9" t="n">
        <v>172905.3</v>
      </c>
      <c r="C6" s="9" t="n">
        <v>137414.86</v>
      </c>
      <c r="D6" s="9" t="n">
        <v>165774.44</v>
      </c>
      <c r="E6" s="9" t="n">
        <v>273320.11</v>
      </c>
      <c r="F6" s="9" t="n">
        <v>135546.3</v>
      </c>
      <c r="G6" s="9" t="n">
        <f aca="false">SUM(B6:F6)</f>
        <v>884961.01</v>
      </c>
    </row>
    <row r="7" customFormat="false" ht="15" hidden="false" customHeight="false" outlineLevel="0" collapsed="false">
      <c r="A7" s="4" t="s">
        <v>39</v>
      </c>
      <c r="B7" s="9" t="n">
        <v>0</v>
      </c>
      <c r="C7" s="9" t="n">
        <v>2084</v>
      </c>
      <c r="D7" s="9" t="n">
        <v>0</v>
      </c>
      <c r="E7" s="9" t="n">
        <v>0</v>
      </c>
      <c r="F7" s="9" t="n">
        <v>0</v>
      </c>
      <c r="G7" s="9" t="n">
        <f aca="false">SUM(B7:F7)</f>
        <v>2084</v>
      </c>
    </row>
    <row r="8" customFormat="false" ht="15" hidden="false" customHeight="false" outlineLevel="0" collapsed="false">
      <c r="A8" s="4" t="s">
        <v>28</v>
      </c>
      <c r="B8" s="9" t="n">
        <v>184892.87</v>
      </c>
      <c r="C8" s="9" t="n">
        <v>151654.09</v>
      </c>
      <c r="D8" s="9" t="n">
        <v>192332.91</v>
      </c>
      <c r="E8" s="9" t="n">
        <v>311281.82</v>
      </c>
      <c r="F8" s="9" t="n">
        <v>86191.33</v>
      </c>
      <c r="G8" s="9" t="n">
        <f aca="false">SUM(B8:F8)</f>
        <v>926353.02</v>
      </c>
    </row>
    <row r="9" customFormat="false" ht="15" hidden="false" customHeight="false" outlineLevel="0" collapsed="false">
      <c r="A9" s="4" t="s">
        <v>40</v>
      </c>
      <c r="B9" s="9" t="n">
        <v>0</v>
      </c>
      <c r="C9" s="9" t="n">
        <v>0</v>
      </c>
      <c r="D9" s="9" t="n">
        <v>18017.34</v>
      </c>
      <c r="E9" s="9" t="n">
        <v>0</v>
      </c>
      <c r="F9" s="9" t="n">
        <v>0</v>
      </c>
      <c r="G9" s="9" t="n">
        <f aca="false">SUM(B9:F9)</f>
        <v>18017.34</v>
      </c>
    </row>
    <row r="10" customFormat="false" ht="15" hidden="false" customHeight="false" outlineLevel="0" collapsed="false">
      <c r="A10" s="4" t="s">
        <v>29</v>
      </c>
      <c r="B10" s="9" t="n">
        <v>291224.37</v>
      </c>
      <c r="C10" s="9" t="n">
        <v>177306.69</v>
      </c>
      <c r="D10" s="9" t="n">
        <v>342650.01</v>
      </c>
      <c r="E10" s="9" t="n">
        <v>320793.44</v>
      </c>
      <c r="F10" s="9" t="n">
        <v>220975.64</v>
      </c>
      <c r="G10" s="9" t="n">
        <f aca="false">SUM(B10:F10)</f>
        <v>1352950.15</v>
      </c>
    </row>
    <row r="11" customFormat="false" ht="15" hidden="false" customHeight="false" outlineLevel="0" collapsed="false">
      <c r="A11" s="4" t="s">
        <v>41</v>
      </c>
      <c r="B11" s="9" t="n">
        <v>25027.94</v>
      </c>
      <c r="C11" s="9" t="n">
        <v>7557.52</v>
      </c>
      <c r="D11" s="9" t="n">
        <v>18627.35</v>
      </c>
      <c r="E11" s="9" t="n">
        <v>13076</v>
      </c>
      <c r="F11" s="9" t="n">
        <v>10456.56</v>
      </c>
      <c r="G11" s="9" t="n">
        <f aca="false">SUM(B11:F11)</f>
        <v>74745.37</v>
      </c>
    </row>
    <row r="12" customFormat="false" ht="15" hidden="false" customHeight="false" outlineLevel="0" collapsed="false">
      <c r="A12" s="4" t="s">
        <v>66</v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f aca="false">SUM(B12:F12)</f>
        <v>0</v>
      </c>
    </row>
    <row r="13" customFormat="false" ht="15" hidden="false" customHeight="false" outlineLevel="0" collapsed="false">
      <c r="A13" s="4" t="s">
        <v>67</v>
      </c>
      <c r="B13" s="9" t="n">
        <v>44660.09</v>
      </c>
      <c r="C13" s="9" t="n">
        <v>5262.04</v>
      </c>
      <c r="D13" s="9" t="n">
        <v>88811.11</v>
      </c>
      <c r="E13" s="9" t="n">
        <v>89737.33</v>
      </c>
      <c r="F13" s="9" t="n">
        <v>4712.62</v>
      </c>
      <c r="G13" s="9" t="n">
        <f aca="false">SUM(B13:F13)</f>
        <v>233183.19</v>
      </c>
    </row>
    <row r="14" customFormat="false" ht="15" hidden="false" customHeight="false" outlineLevel="0" collapsed="false">
      <c r="A14" s="4" t="s">
        <v>34</v>
      </c>
      <c r="B14" s="9" t="n">
        <v>66794.44</v>
      </c>
      <c r="C14" s="9" t="n">
        <v>30664.01</v>
      </c>
      <c r="D14" s="9" t="n">
        <v>69322.33</v>
      </c>
      <c r="E14" s="9" t="n">
        <v>32238.09</v>
      </c>
      <c r="F14" s="9" t="n">
        <v>42207.69</v>
      </c>
      <c r="G14" s="9" t="n">
        <f aca="false">SUM(B14:F14)</f>
        <v>241226.56</v>
      </c>
    </row>
    <row r="15" customFormat="false" ht="15" hidden="false" customHeight="false" outlineLevel="0" collapsed="false">
      <c r="A15" s="4" t="s">
        <v>30</v>
      </c>
      <c r="B15" s="9" t="n">
        <v>15212.41</v>
      </c>
      <c r="C15" s="9" t="n">
        <v>23667.3</v>
      </c>
      <c r="D15" s="9" t="n">
        <v>7292.07</v>
      </c>
      <c r="E15" s="9" t="n">
        <v>0</v>
      </c>
      <c r="F15" s="9" t="n">
        <v>11430.6</v>
      </c>
      <c r="G15" s="9" t="n">
        <f aca="false">SUM(B15:F15)</f>
        <v>57602.38</v>
      </c>
    </row>
    <row r="16" customFormat="false" ht="15" hidden="false" customHeight="false" outlineLevel="0" collapsed="false">
      <c r="A16" s="4" t="s">
        <v>68</v>
      </c>
      <c r="B16" s="9" t="n">
        <v>30605.95</v>
      </c>
      <c r="C16" s="9" t="n">
        <v>37989.4</v>
      </c>
      <c r="D16" s="9" t="n">
        <v>46745.63</v>
      </c>
      <c r="E16" s="9" t="n">
        <v>125489.73</v>
      </c>
      <c r="F16" s="9" t="n">
        <v>18780.32</v>
      </c>
      <c r="G16" s="9" t="n">
        <f aca="false">SUM(B16:F16)</f>
        <v>259611.03</v>
      </c>
    </row>
    <row r="17" customFormat="false" ht="15" hidden="false" customHeight="false" outlineLevel="0" collapsed="false">
      <c r="A17" s="4" t="s">
        <v>31</v>
      </c>
      <c r="B17" s="9" t="n">
        <v>1081</v>
      </c>
      <c r="C17" s="9" t="n">
        <v>17671.98</v>
      </c>
      <c r="D17" s="9" t="n">
        <v>28605.26</v>
      </c>
      <c r="E17" s="9" t="n">
        <v>57049.82</v>
      </c>
      <c r="F17" s="9" t="n">
        <v>8377.78</v>
      </c>
      <c r="G17" s="9" t="n">
        <f aca="false">SUM(B17:F17)</f>
        <v>112785.84</v>
      </c>
    </row>
    <row r="18" customFormat="false" ht="15" hidden="false" customHeight="false" outlineLevel="0" collapsed="false">
      <c r="A18" s="4" t="s">
        <v>33</v>
      </c>
      <c r="B18" s="9" t="n">
        <v>8403.85</v>
      </c>
      <c r="C18" s="9" t="n">
        <v>2311.2</v>
      </c>
      <c r="D18" s="9" t="n">
        <v>5087.52</v>
      </c>
      <c r="E18" s="9" t="n">
        <v>30087.2</v>
      </c>
      <c r="F18" s="9" t="n">
        <v>9628.32</v>
      </c>
      <c r="G18" s="9" t="n">
        <f aca="false">SUM(B18:F18)</f>
        <v>55518.09</v>
      </c>
    </row>
    <row r="19" customFormat="false" ht="15" hidden="false" customHeight="false" outlineLevel="0" collapsed="false">
      <c r="A19" s="19" t="s">
        <v>65</v>
      </c>
      <c r="B19" s="20" t="n">
        <f aca="false">SUM(B5:B18)</f>
        <v>861691.62</v>
      </c>
      <c r="C19" s="20" t="n">
        <f aca="false">SUM(C5:C18)</f>
        <v>601675.27</v>
      </c>
      <c r="D19" s="20" t="n">
        <f aca="false">SUM(D5:D18)</f>
        <v>987823.5</v>
      </c>
      <c r="E19" s="20" t="n">
        <f aca="false">SUM(E5:E18)</f>
        <v>1264270.02</v>
      </c>
      <c r="F19" s="20" t="n">
        <f aca="false">SUM(F5:F18)</f>
        <v>551413.78</v>
      </c>
      <c r="G19" s="20" t="n">
        <f aca="false">SUM(G5:G18)</f>
        <v>4266874.19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2026-06-03T14:29:17Z</dcterms:created>
  <dc:creator>openpyxl</dc:creator>
  <dc:description/>
  <dc:language>en-US</dc:language>
  <cp:lastModifiedBy/>
  <dcterms:modified xsi:type="dcterms:W3CDTF">2026-06-03T14:29:17Z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