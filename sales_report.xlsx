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REVENU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<sst xmlns="http://schemas.openxmlformats.org/spreadsheetml/2006/main" count="96" uniqueCount="63">
  <si>
    <t xml:space="preserve">FireRock Building Materials</t>
  </si>
  <si>
    <t xml:space="preserve">Daily Sales &amp; Revenue Report</t>
  </si>
  <si>
    <t xml:space="preserve">6/1/2026</t>
  </si>
  <si>
    <t xml:space="preserve">Month</t>
  </si>
  <si>
    <t xml:space="preserve"># Working Days in Current Month</t>
  </si>
  <si>
    <t xml:space="preserve"># Working Days in Current Year</t>
  </si>
  <si>
    <t xml:space="preserve"># Days In</t>
  </si>
  <si>
    <t xml:space="preserve"># Days to Go</t>
  </si>
  <si>
    <t xml:space="preserve">SALES ORDERS - CURRENT MONTH</t>
  </si>
  <si>
    <t xml:space="preserve">REVENUE</t>
  </si>
  <si>
    <t xml:space="preserve">BACKLOG</t>
  </si>
  <si>
    <t xml:space="preserve">SALES ORDERS - YTD</t>
  </si>
  <si>
    <t xml:space="preserve">Jun-26</t>
  </si>
  <si>
    <t xml:space="preserve">Jun-25</t>
  </si>
  <si>
    <t xml:space="preserve">Quota</t>
  </si>
  <si>
    <t xml:space="preserve">% Quota</t>
  </si>
  <si>
    <t xml:space="preserve">Forecast</t>
  </si>
  <si>
    <t xml:space="preserve">Rev MTD Jun-26</t>
  </si>
  <si>
    <t xml:space="preserve">Backlog Bal</t>
  </si>
  <si>
    <t xml:space="preserve">CY YTD</t>
  </si>
  <si>
    <t xml:space="preserve">PY YTD</t>
  </si>
  <si>
    <t xml:space="preserve">% PY</t>
  </si>
  <si>
    <t xml:space="preserve">Quota YTD</t>
  </si>
  <si>
    <t xml:space="preserve">Annual Quota</t>
  </si>
  <si>
    <t xml:space="preserve">Prior FYE</t>
  </si>
  <si>
    <t xml:space="preserve">% Pr FYE</t>
  </si>
  <si>
    <t xml:space="preserve">ERIC BLASKOWSKI</t>
  </si>
  <si>
    <t xml:space="preserve">KEVIN KEITH</t>
  </si>
  <si>
    <t xml:space="preserve">THORNTON COLE</t>
  </si>
  <si>
    <t xml:space="preserve">MICHAEL KUHLMAN</t>
  </si>
  <si>
    <t xml:space="preserve">HAMP BRILEY</t>
  </si>
  <si>
    <t xml:space="preserve">GRAYSON MOOREHEAD</t>
  </si>
  <si>
    <t xml:space="preserve">BEAU BOUTHILLIER</t>
  </si>
  <si>
    <t xml:space="preserve">SUZANNE HORST</t>
  </si>
  <si>
    <t xml:space="preserve">TIFFANY HASKEKER</t>
  </si>
  <si>
    <t xml:space="preserve">TOTAL FIREROCK SALES TEAM</t>
  </si>
  <si>
    <t xml:space="preserve">HOUSE/CORP PRODUCTS</t>
  </si>
  <si>
    <t xml:space="preserve">ELITE DEALS</t>
  </si>
  <si>
    <t xml:space="preserve">KCB</t>
  </si>
  <si>
    <t xml:space="preserve">NET DIRECT</t>
  </si>
  <si>
    <t xml:space="preserve">WOODLAND DIRECT</t>
  </si>
  <si>
    <t xml:space="preserve">TOTAL FIREROCK SALES</t>
  </si>
  <si>
    <t xml:space="preserve">REVENUE - CURRENT MONTH</t>
  </si>
  <si>
    <t xml:space="preserve">REVENUE - YTD</t>
  </si>
  <si>
    <t xml:space="preserve">Rev MTD</t>
  </si>
  <si>
    <t xml:space="preserve">Budget</t>
  </si>
  <si>
    <t xml:space="preserve">% Budget</t>
  </si>
  <si>
    <t xml:space="preserve">Budget YTD</t>
  </si>
  <si>
    <t xml:space="preserve">FIREPLACE/PP</t>
  </si>
  <si>
    <t xml:space="preserve">PAVER/PP</t>
  </si>
  <si>
    <t xml:space="preserve">ROOFING</t>
  </si>
  <si>
    <t xml:space="preserve">FLOORING</t>
  </si>
  <si>
    <t xml:space="preserve">INSTALLATION</t>
  </si>
  <si>
    <t xml:space="preserve">SWD</t>
  </si>
  <si>
    <t xml:space="preserve">OTHER</t>
  </si>
  <si>
    <t xml:space="preserve">TOTAL</t>
  </si>
  <si>
    <t xml:space="preserve">FREIGHT</t>
  </si>
  <si>
    <t xml:space="preserve">TOTAL W/ FREIGHT</t>
  </si>
  <si>
    <t xml:space="preserve">FireRock - Revenue by Product (6/1/2026)</t>
  </si>
  <si>
    <t xml:space="preserve">Product</t>
  </si>
  <si>
    <t xml:space="preserve">Budget MTD</t>
  </si>
  <si>
    <t xml:space="preserve">Rev YTD</t>
  </si>
  <si>
    <t xml:space="preserve">Backlog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</si>
</sst>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;\(0%\);\-"/>
    <numFmt numFmtId="166" formatCode="#,##0;\(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F4E"/>
      <name val="Arial"/>
      <family val="0"/>
      <charset val="1"/>
    </font>
    <font>
      <b val="true"/>
      <sz val="11"/>
      <color rgb="FFC8952A"/>
      <name val="Arial"/>
      <family val="0"/>
      <charset val="1"/>
    </font>
    <font>
      <sz val="10"/>
      <name val="Arial"/>
      <family val="0"/>
      <charset val="1"/>
    </font>
    <font>
      <sz val="9"/>
      <name val="Arial"/>
      <family val="0"/>
      <charset val="1"/>
    </font>
    <font>
      <b val="true"/>
      <sz val="8"/>
      <color rgb="FF1F2F4E"/>
      <name val="Arial"/>
      <family val="0"/>
      <charset val="1"/>
    </font>
    <font>
      <b val="true"/>
      <sz val="8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2"/>
      <color rgb="FF1F2F4E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9EBEE"/>
        <bgColor rgb="FFFFFFFF"/>
      </patternFill>
    </fill>
    <fill>
      <patternFill patternType="solid">
        <fgColor rgb="FFC8952A"/>
        <bgColor rgb="FFFF8080"/>
      </patternFill>
    </fill>
    <fill>
      <patternFill patternType="solid">
        <fgColor rgb="FF1F2F4E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9EB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952A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F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W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23" min="3" style="0" width="11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15" hidden="false" customHeight="false" outlineLevel="0" collapsed="false">
      <c r="B5" s="4" t="s">
        <v>3</v>
      </c>
      <c r="C5" s="0" t="n">
        <v>6</v>
      </c>
    </row>
    <row r="6" customFormat="false" ht="15" hidden="false" customHeight="false" outlineLevel="0" collapsed="false">
      <c r="B6" s="4" t="s">
        <v>4</v>
      </c>
      <c r="C6" s="0" t="n">
        <v>22</v>
      </c>
      <c r="F6" s="5" t="s">
        <v>5</v>
      </c>
      <c r="G6" s="0" t="n">
        <v>254</v>
      </c>
    </row>
    <row r="7" customFormat="false" ht="15" hidden="false" customHeight="false" outlineLevel="0" collapsed="false">
      <c r="B7" s="4" t="s">
        <v>6</v>
      </c>
      <c r="C7" s="0" t="n">
        <v>1</v>
      </c>
      <c r="D7" s="6" t="n">
        <v>0.05</v>
      </c>
      <c r="F7" s="5" t="s">
        <v>6</v>
      </c>
      <c r="G7" s="0" t="n">
        <v>107</v>
      </c>
      <c r="H7" s="6" t="n">
        <v>0.42</v>
      </c>
    </row>
    <row r="8" customFormat="false" ht="15" hidden="false" customHeight="false" outlineLevel="0" collapsed="false">
      <c r="B8" s="4" t="s">
        <v>7</v>
      </c>
      <c r="C8" s="0" t="n">
        <v>21</v>
      </c>
      <c r="F8" s="5" t="s">
        <v>7</v>
      </c>
      <c r="G8" s="0" t="n">
        <v>147</v>
      </c>
    </row>
    <row r="11" customFormat="false" ht="15" hidden="false" customHeight="false" outlineLevel="0" collapsed="false">
      <c r="C11" s="7" t="s">
        <v>8</v>
      </c>
      <c r="J11" s="7" t="s">
        <v>9</v>
      </c>
      <c r="L11" s="7" t="s">
        <v>10</v>
      </c>
      <c r="N11" s="7" t="s">
        <v>11</v>
      </c>
    </row>
    <row r="13" customFormat="false" ht="19.4" hidden="false" customHeight="false" outlineLevel="0" collapsed="false">
      <c r="C13" s="8" t="s">
        <v>12</v>
      </c>
      <c r="D13" s="8" t="s">
        <v>13</v>
      </c>
      <c r="E13" s="8" t="s">
        <v>14</v>
      </c>
      <c r="F13" s="8" t="s">
        <v>15</v>
      </c>
      <c r="G13" s="8" t="s">
        <v>16</v>
      </c>
      <c r="H13" s="8" t="s">
        <v>15</v>
      </c>
      <c r="J13" s="8" t="s">
        <v>17</v>
      </c>
      <c r="L13" s="8" t="s">
        <v>18</v>
      </c>
      <c r="N13" s="8" t="s">
        <v>19</v>
      </c>
      <c r="O13" s="8" t="s">
        <v>20</v>
      </c>
      <c r="P13" s="8" t="s">
        <v>21</v>
      </c>
      <c r="Q13" s="8" t="s">
        <v>22</v>
      </c>
      <c r="R13" s="8" t="s">
        <v>15</v>
      </c>
      <c r="S13" s="8" t="s">
        <v>23</v>
      </c>
      <c r="T13" s="8" t="s">
        <v>15</v>
      </c>
      <c r="U13" s="8" t="s">
        <v>24</v>
      </c>
      <c r="V13" s="8" t="s">
        <v>25</v>
      </c>
    </row>
    <row r="14" customFormat="false" ht="15" hidden="false" customHeight="false" outlineLevel="0" collapsed="false">
      <c r="B14" s="4" t="s">
        <v>26</v>
      </c>
      <c r="C14" s="9" t="n">
        <v>0</v>
      </c>
      <c r="D14" s="9" t="n">
        <v>239895</v>
      </c>
      <c r="E14" s="9" t="n">
        <v>352500</v>
      </c>
      <c r="F14" s="10" t="n">
        <v>0</v>
      </c>
      <c r="G14" s="9" t="n">
        <v>0</v>
      </c>
      <c r="H14" s="10" t="n">
        <v>0</v>
      </c>
      <c r="J14" s="9" t="n">
        <v>0</v>
      </c>
      <c r="L14" s="9" t="n">
        <v>491054</v>
      </c>
      <c r="N14" s="9" t="n">
        <v>1172928</v>
      </c>
      <c r="O14" s="9" t="n">
        <v>1267368</v>
      </c>
      <c r="P14" s="10" t="n">
        <v>0.93</v>
      </c>
      <c r="Q14" s="9" t="n">
        <v>1474409</v>
      </c>
      <c r="R14" s="10" t="n">
        <v>0.8</v>
      </c>
      <c r="S14" s="9" t="n">
        <v>3500000</v>
      </c>
      <c r="T14" s="10" t="n">
        <v>0.34</v>
      </c>
      <c r="U14" s="9" t="n">
        <v>2794760</v>
      </c>
      <c r="V14" s="10" t="n">
        <v>0.42</v>
      </c>
    </row>
    <row r="15" customFormat="false" ht="15" hidden="false" customHeight="false" outlineLevel="0" collapsed="false">
      <c r="B15" s="4" t="s">
        <v>27</v>
      </c>
      <c r="C15" s="9" t="n">
        <v>2609</v>
      </c>
      <c r="D15" s="9" t="n">
        <v>187602</v>
      </c>
      <c r="E15" s="9" t="n">
        <v>253000</v>
      </c>
      <c r="F15" s="10" t="n">
        <v>0.01</v>
      </c>
      <c r="G15" s="9" t="n">
        <v>57404</v>
      </c>
      <c r="H15" s="10" t="n">
        <v>0.23</v>
      </c>
      <c r="J15" s="9" t="n">
        <v>2608</v>
      </c>
      <c r="L15" s="9" t="n">
        <v>197795</v>
      </c>
      <c r="N15" s="9" t="n">
        <v>1135437</v>
      </c>
      <c r="O15" s="9" t="n">
        <v>1200136</v>
      </c>
      <c r="P15" s="10" t="n">
        <v>0.95</v>
      </c>
      <c r="Q15" s="9" t="n">
        <v>1080953</v>
      </c>
      <c r="R15" s="10" t="n">
        <v>1.05</v>
      </c>
      <c r="S15" s="9" t="n">
        <v>2566000</v>
      </c>
      <c r="T15" s="10" t="n">
        <v>0.44</v>
      </c>
      <c r="U15" s="9" t="n">
        <v>2165530</v>
      </c>
      <c r="V15" s="10" t="n">
        <v>0.52</v>
      </c>
    </row>
    <row r="16" customFormat="false" ht="15" hidden="false" customHeight="false" outlineLevel="0" collapsed="false">
      <c r="B16" s="4" t="s">
        <v>28</v>
      </c>
      <c r="C16" s="9" t="n">
        <v>1925</v>
      </c>
      <c r="D16" s="9" t="n">
        <v>321418</v>
      </c>
      <c r="E16" s="9" t="n">
        <v>406000</v>
      </c>
      <c r="F16" s="10" t="n">
        <v>0</v>
      </c>
      <c r="G16" s="9" t="n">
        <v>42350</v>
      </c>
      <c r="H16" s="10" t="n">
        <v>0.1</v>
      </c>
      <c r="J16" s="9" t="n">
        <v>0</v>
      </c>
      <c r="L16" s="9" t="n">
        <v>264011</v>
      </c>
      <c r="N16" s="9" t="n">
        <v>1633995</v>
      </c>
      <c r="O16" s="9" t="n">
        <v>2093724</v>
      </c>
      <c r="P16" s="10" t="n">
        <v>0.78</v>
      </c>
      <c r="Q16" s="9" t="n">
        <v>1904937</v>
      </c>
      <c r="R16" s="10" t="n">
        <v>0.86</v>
      </c>
      <c r="S16" s="9" t="n">
        <v>4522000</v>
      </c>
      <c r="T16" s="10" t="n">
        <v>0.36</v>
      </c>
      <c r="U16" s="9" t="n">
        <v>3820751</v>
      </c>
      <c r="V16" s="10" t="n">
        <v>0.43</v>
      </c>
    </row>
    <row r="17" customFormat="false" ht="15" hidden="false" customHeight="false" outlineLevel="0" collapsed="false">
      <c r="B17" s="4" t="s">
        <v>29</v>
      </c>
      <c r="C17" s="9" t="n">
        <v>0</v>
      </c>
      <c r="D17" s="9" t="n">
        <v>3848</v>
      </c>
      <c r="E17" s="9" t="n">
        <v>35000</v>
      </c>
      <c r="F17" s="10" t="n">
        <v>0</v>
      </c>
      <c r="G17" s="9" t="n">
        <v>0</v>
      </c>
      <c r="H17" s="10" t="n">
        <v>0</v>
      </c>
      <c r="J17" s="9" t="n">
        <v>0</v>
      </c>
      <c r="L17" s="9" t="n">
        <v>16544</v>
      </c>
      <c r="N17" s="9" t="n">
        <v>51293</v>
      </c>
      <c r="O17" s="9" t="n">
        <v>72500</v>
      </c>
      <c r="P17" s="10" t="n">
        <v>0.71</v>
      </c>
      <c r="Q17" s="9" t="n">
        <v>471811</v>
      </c>
      <c r="R17" s="10" t="n">
        <v>0.11</v>
      </c>
      <c r="S17" s="9" t="n">
        <v>1120000</v>
      </c>
      <c r="T17" s="10" t="n">
        <v>0.05</v>
      </c>
      <c r="U17" s="9" t="n">
        <v>137530</v>
      </c>
      <c r="V17" s="10" t="n">
        <v>0.37</v>
      </c>
    </row>
    <row r="18" customFormat="false" ht="15" hidden="false" customHeight="false" outlineLevel="0" collapsed="false">
      <c r="B18" s="4" t="s">
        <v>30</v>
      </c>
      <c r="C18" s="9" t="n">
        <v>0</v>
      </c>
      <c r="D18" s="9" t="n">
        <v>16997</v>
      </c>
      <c r="E18" s="9" t="n">
        <v>65000</v>
      </c>
      <c r="F18" s="10" t="n">
        <v>0</v>
      </c>
      <c r="G18" s="9" t="n">
        <v>0</v>
      </c>
      <c r="H18" s="10" t="n">
        <v>0</v>
      </c>
      <c r="J18" s="9" t="n">
        <v>0</v>
      </c>
      <c r="L18" s="9" t="n">
        <v>46692</v>
      </c>
      <c r="N18" s="9" t="n">
        <v>154713</v>
      </c>
      <c r="O18" s="9" t="n">
        <v>176545</v>
      </c>
      <c r="P18" s="10" t="n">
        <v>0.88</v>
      </c>
      <c r="Q18" s="9" t="n">
        <v>252756</v>
      </c>
      <c r="R18" s="10" t="n">
        <v>0.61</v>
      </c>
      <c r="S18" s="9" t="n">
        <v>600000</v>
      </c>
      <c r="T18" s="10" t="n">
        <v>0.26</v>
      </c>
      <c r="U18" s="9" t="n">
        <v>322611</v>
      </c>
      <c r="V18" s="10" t="n">
        <v>0.48</v>
      </c>
    </row>
    <row r="19" customFormat="false" ht="15" hidden="false" customHeight="false" outlineLevel="0" collapsed="false">
      <c r="B19" s="4" t="s">
        <v>31</v>
      </c>
      <c r="C19" s="9" t="n">
        <v>725</v>
      </c>
      <c r="D19" s="9" t="n">
        <v>27403</v>
      </c>
      <c r="E19" s="9" t="n">
        <v>113835</v>
      </c>
      <c r="F19" s="10" t="n">
        <v>0.01</v>
      </c>
      <c r="G19" s="9" t="n">
        <v>15946</v>
      </c>
      <c r="H19" s="10" t="n">
        <v>0.14</v>
      </c>
      <c r="J19" s="9" t="n">
        <v>0</v>
      </c>
      <c r="L19" s="9" t="n">
        <v>119335</v>
      </c>
      <c r="N19" s="9" t="n">
        <v>388542</v>
      </c>
      <c r="O19" s="9" t="n">
        <v>172754</v>
      </c>
      <c r="P19" s="10" t="n">
        <v>2.25</v>
      </c>
      <c r="Q19" s="9" t="n">
        <v>368457</v>
      </c>
      <c r="R19" s="10" t="n">
        <v>1.05</v>
      </c>
      <c r="S19" s="9" t="n">
        <v>874656</v>
      </c>
      <c r="T19" s="10" t="n">
        <v>0.44</v>
      </c>
      <c r="U19" s="9" t="n">
        <v>466087</v>
      </c>
      <c r="V19" s="10" t="n">
        <v>0.83</v>
      </c>
    </row>
    <row r="20" customFormat="false" ht="15" hidden="false" customHeight="false" outlineLevel="0" collapsed="false">
      <c r="B20" s="4" t="s">
        <v>32</v>
      </c>
      <c r="C20" s="9" t="n">
        <v>0</v>
      </c>
      <c r="D20" s="9" t="n">
        <v>58240</v>
      </c>
      <c r="E20" s="9" t="n">
        <v>35000</v>
      </c>
      <c r="F20" s="10" t="n">
        <v>0</v>
      </c>
      <c r="G20" s="9" t="n">
        <v>0</v>
      </c>
      <c r="H20" s="10" t="n">
        <v>0</v>
      </c>
      <c r="J20" s="9" t="n">
        <v>0</v>
      </c>
      <c r="L20" s="9" t="n">
        <v>0</v>
      </c>
      <c r="N20" s="9" t="n">
        <v>54345</v>
      </c>
      <c r="O20" s="9" t="n">
        <v>205985</v>
      </c>
      <c r="P20" s="10" t="n">
        <v>0.26</v>
      </c>
      <c r="Q20" s="9" t="n">
        <v>252756</v>
      </c>
      <c r="R20" s="10" t="n">
        <v>0.22</v>
      </c>
      <c r="S20" s="9" t="n">
        <v>600000</v>
      </c>
      <c r="T20" s="10" t="n">
        <v>0.09</v>
      </c>
      <c r="U20" s="9" t="n">
        <v>337325</v>
      </c>
      <c r="V20" s="10" t="n">
        <v>0.16</v>
      </c>
    </row>
    <row r="21" customFormat="false" ht="15" hidden="false" customHeight="false" outlineLevel="0" collapsed="false">
      <c r="B21" s="4" t="s">
        <v>33</v>
      </c>
      <c r="C21" s="9" t="n">
        <v>3767</v>
      </c>
      <c r="D21" s="9" t="n">
        <v>32855</v>
      </c>
      <c r="E21" s="9" t="n">
        <v>110000</v>
      </c>
      <c r="F21" s="10" t="n">
        <v>0.03</v>
      </c>
      <c r="G21" s="9" t="n">
        <v>82874</v>
      </c>
      <c r="H21" s="10" t="n">
        <v>0.75</v>
      </c>
      <c r="J21" s="9" t="n">
        <v>0</v>
      </c>
      <c r="L21" s="9" t="n">
        <v>20920</v>
      </c>
      <c r="N21" s="9" t="n">
        <v>226360</v>
      </c>
      <c r="O21" s="9" t="n">
        <v>375464</v>
      </c>
      <c r="P21" s="10" t="n">
        <v>0.6</v>
      </c>
      <c r="Q21" s="9" t="n">
        <v>398512</v>
      </c>
      <c r="R21" s="10" t="n">
        <v>0.57</v>
      </c>
      <c r="S21" s="9" t="n">
        <v>946000</v>
      </c>
      <c r="T21" s="10" t="n">
        <v>0.24</v>
      </c>
      <c r="U21" s="9" t="n">
        <v>718725</v>
      </c>
      <c r="V21" s="10" t="n">
        <v>0.31</v>
      </c>
    </row>
    <row r="22" customFormat="false" ht="15" hidden="false" customHeight="false" outlineLevel="0" collapsed="false">
      <c r="B22" s="4" t="s">
        <v>34</v>
      </c>
      <c r="C22" s="9" t="n">
        <v>0</v>
      </c>
      <c r="D22" s="9" t="n">
        <v>42171</v>
      </c>
      <c r="E22" s="9" t="n">
        <v>79087</v>
      </c>
      <c r="F22" s="10" t="n">
        <v>0</v>
      </c>
      <c r="G22" s="9" t="n">
        <v>0</v>
      </c>
      <c r="H22" s="10" t="n">
        <v>0</v>
      </c>
      <c r="J22" s="9" t="n">
        <v>0</v>
      </c>
      <c r="L22" s="9" t="n">
        <v>111783</v>
      </c>
      <c r="N22" s="9" t="n">
        <v>310174</v>
      </c>
      <c r="O22" s="9" t="n">
        <v>460625</v>
      </c>
      <c r="P22" s="10" t="n">
        <v>0.67</v>
      </c>
      <c r="Q22" s="9" t="n">
        <v>406743</v>
      </c>
      <c r="R22" s="10" t="n">
        <v>0.76</v>
      </c>
      <c r="S22" s="9" t="n">
        <v>965540</v>
      </c>
      <c r="T22" s="10" t="n">
        <v>0.32</v>
      </c>
      <c r="U22" s="9" t="n">
        <v>777608</v>
      </c>
      <c r="V22" s="10" t="n">
        <v>0.4</v>
      </c>
    </row>
    <row r="23" customFormat="false" ht="15" hidden="false" customHeight="false" outlineLevel="0" collapsed="false">
      <c r="B23" s="11" t="s">
        <v>35</v>
      </c>
      <c r="C23" s="12" t="n">
        <v>9026</v>
      </c>
      <c r="D23" s="12" t="n">
        <v>930430</v>
      </c>
      <c r="E23" s="12" t="n">
        <v>1449422</v>
      </c>
      <c r="F23" s="13" t="n">
        <v>0.01</v>
      </c>
      <c r="G23" s="12" t="n">
        <v>198574</v>
      </c>
      <c r="H23" s="13" t="n">
        <v>0.13</v>
      </c>
      <c r="J23" s="12" t="n">
        <v>2608</v>
      </c>
      <c r="L23" s="12" t="n">
        <v>1268134</v>
      </c>
      <c r="N23" s="12" t="n">
        <v>5127785</v>
      </c>
      <c r="O23" s="12" t="n">
        <v>6025101</v>
      </c>
      <c r="P23" s="13" t="n">
        <v>0.85</v>
      </c>
      <c r="Q23" s="12" t="n">
        <v>6611335</v>
      </c>
      <c r="R23" s="13" t="n">
        <v>0.78</v>
      </c>
      <c r="S23" s="12" t="n">
        <v>15694196</v>
      </c>
      <c r="T23" s="13" t="n">
        <v>0.33</v>
      </c>
      <c r="U23" s="12" t="n">
        <v>11540927</v>
      </c>
      <c r="V23" s="13" t="n">
        <v>0.44</v>
      </c>
    </row>
    <row r="25" customFormat="false" ht="15" hidden="false" customHeight="false" outlineLevel="0" collapsed="false">
      <c r="B25" s="4" t="s">
        <v>36</v>
      </c>
      <c r="C25" s="9" t="n">
        <v>0</v>
      </c>
      <c r="D25" s="9" t="n">
        <v>0</v>
      </c>
      <c r="E25" s="9" t="n">
        <v>0</v>
      </c>
      <c r="F25" s="10" t="n">
        <v>0</v>
      </c>
      <c r="G25" s="9" t="n">
        <v>0</v>
      </c>
      <c r="H25" s="10" t="n">
        <v>0</v>
      </c>
      <c r="J25" s="9" t="n">
        <v>0</v>
      </c>
      <c r="L25" s="9" t="n">
        <v>41215</v>
      </c>
      <c r="N25" s="9" t="n">
        <v>41228</v>
      </c>
      <c r="O25" s="9" t="n">
        <v>0</v>
      </c>
      <c r="P25" s="10" t="n">
        <v>0</v>
      </c>
      <c r="Q25" s="9" t="n">
        <v>0</v>
      </c>
      <c r="R25" s="10" t="n">
        <v>0</v>
      </c>
      <c r="S25" s="9" t="n">
        <v>0</v>
      </c>
      <c r="T25" s="10" t="n">
        <v>0</v>
      </c>
      <c r="U25" s="9" t="n">
        <v>0</v>
      </c>
      <c r="V25" s="10" t="n">
        <v>0</v>
      </c>
    </row>
    <row r="26" customFormat="false" ht="15" hidden="false" customHeight="false" outlineLevel="0" collapsed="false">
      <c r="B26" s="4" t="s">
        <v>37</v>
      </c>
      <c r="C26" s="9" t="n">
        <v>0</v>
      </c>
      <c r="D26" s="9" t="n">
        <v>1556</v>
      </c>
      <c r="E26" s="9" t="n">
        <v>5000</v>
      </c>
      <c r="F26" s="10" t="n">
        <v>0</v>
      </c>
      <c r="G26" s="9" t="n">
        <v>0</v>
      </c>
      <c r="H26" s="10" t="n">
        <v>0</v>
      </c>
      <c r="J26" s="9" t="n">
        <v>0</v>
      </c>
      <c r="L26" s="9" t="n">
        <v>4487</v>
      </c>
      <c r="N26" s="9" t="n">
        <v>58844</v>
      </c>
      <c r="O26" s="9" t="n">
        <v>17016</v>
      </c>
      <c r="P26" s="10" t="n">
        <v>3.46</v>
      </c>
      <c r="Q26" s="9" t="n">
        <v>15000</v>
      </c>
      <c r="R26" s="10" t="n">
        <v>1.13</v>
      </c>
      <c r="S26" s="9" t="n">
        <v>60000</v>
      </c>
      <c r="T26" s="10" t="n">
        <v>0.98</v>
      </c>
      <c r="U26" s="9" t="n">
        <v>62378</v>
      </c>
      <c r="V26" s="10" t="n">
        <v>0.94</v>
      </c>
    </row>
    <row r="27" customFormat="false" ht="15" hidden="false" customHeight="false" outlineLevel="0" collapsed="false">
      <c r="B27" s="4" t="s">
        <v>38</v>
      </c>
      <c r="C27" s="9" t="n">
        <v>0</v>
      </c>
      <c r="D27" s="9" t="n">
        <v>7137</v>
      </c>
      <c r="E27" s="9" t="n">
        <v>0</v>
      </c>
      <c r="F27" s="10" t="n">
        <v>0</v>
      </c>
      <c r="G27" s="9" t="n">
        <v>0</v>
      </c>
      <c r="H27" s="10" t="n">
        <v>0</v>
      </c>
      <c r="J27" s="9" t="n">
        <v>0</v>
      </c>
      <c r="L27" s="9" t="n">
        <v>0</v>
      </c>
      <c r="N27" s="9" t="n">
        <v>2084</v>
      </c>
      <c r="O27" s="9" t="n">
        <v>56083</v>
      </c>
      <c r="P27" s="10" t="n">
        <v>0.04</v>
      </c>
      <c r="Q27" s="9" t="n">
        <v>0</v>
      </c>
      <c r="R27" s="10" t="n">
        <v>0</v>
      </c>
      <c r="S27" s="9" t="n">
        <v>0</v>
      </c>
      <c r="T27" s="10" t="n">
        <v>0</v>
      </c>
      <c r="U27" s="9" t="n">
        <v>82466</v>
      </c>
      <c r="V27" s="10" t="n">
        <v>0.03</v>
      </c>
    </row>
    <row r="28" customFormat="false" ht="15" hidden="false" customHeight="false" outlineLevel="0" collapsed="false">
      <c r="B28" s="4" t="s">
        <v>39</v>
      </c>
      <c r="C28" s="9" t="n">
        <v>0</v>
      </c>
      <c r="D28" s="9" t="n">
        <v>0</v>
      </c>
      <c r="E28" s="9" t="n">
        <v>0</v>
      </c>
      <c r="F28" s="10" t="n">
        <v>0</v>
      </c>
      <c r="G28" s="9" t="n">
        <v>0</v>
      </c>
      <c r="H28" s="10" t="n">
        <v>0</v>
      </c>
      <c r="J28" s="9" t="n">
        <v>0</v>
      </c>
      <c r="L28" s="9" t="n">
        <v>192</v>
      </c>
      <c r="N28" s="9" t="n">
        <v>21070</v>
      </c>
      <c r="O28" s="9" t="n">
        <v>2093</v>
      </c>
      <c r="P28" s="10" t="n">
        <v>10.07</v>
      </c>
      <c r="Q28" s="9" t="n">
        <v>0</v>
      </c>
      <c r="R28" s="10" t="n">
        <v>0</v>
      </c>
      <c r="S28" s="9" t="n">
        <v>0</v>
      </c>
      <c r="T28" s="10" t="n">
        <v>0</v>
      </c>
      <c r="U28" s="9" t="n">
        <v>2093</v>
      </c>
      <c r="V28" s="10" t="n">
        <v>10.07</v>
      </c>
    </row>
    <row r="29" customFormat="false" ht="15" hidden="false" customHeight="false" outlineLevel="0" collapsed="false">
      <c r="B29" s="4" t="s">
        <v>40</v>
      </c>
      <c r="C29" s="9" t="n">
        <v>0</v>
      </c>
      <c r="D29" s="9" t="n">
        <v>40809</v>
      </c>
      <c r="E29" s="9" t="n">
        <v>25000</v>
      </c>
      <c r="F29" s="10" t="n">
        <v>0</v>
      </c>
      <c r="G29" s="9" t="n">
        <v>0</v>
      </c>
      <c r="H29" s="10" t="n">
        <v>0</v>
      </c>
      <c r="J29" s="9" t="n">
        <v>0</v>
      </c>
      <c r="L29" s="9" t="n">
        <v>11131</v>
      </c>
      <c r="N29" s="9" t="n">
        <v>91586</v>
      </c>
      <c r="O29" s="9" t="n">
        <v>134113</v>
      </c>
      <c r="P29" s="10" t="n">
        <v>0.68</v>
      </c>
      <c r="Q29" s="9" t="n">
        <v>65000</v>
      </c>
      <c r="R29" s="10" t="n">
        <v>2.06</v>
      </c>
      <c r="S29" s="9" t="n">
        <v>265000</v>
      </c>
      <c r="T29" s="10" t="n">
        <v>0.35</v>
      </c>
      <c r="U29" s="9" t="n">
        <v>261659</v>
      </c>
      <c r="V29" s="10" t="n">
        <v>0.35</v>
      </c>
    </row>
    <row r="30" customFormat="false" ht="15" hidden="false" customHeight="false" outlineLevel="0" collapsed="false">
      <c r="B30" s="14" t="s">
        <v>41</v>
      </c>
      <c r="C30" s="15" t="n">
        <v>9026</v>
      </c>
      <c r="D30" s="15" t="n">
        <v>979932</v>
      </c>
      <c r="E30" s="15" t="n">
        <v>1479422</v>
      </c>
      <c r="F30" s="16" t="n">
        <v>0.01</v>
      </c>
      <c r="G30" s="15" t="n">
        <v>198574</v>
      </c>
      <c r="H30" s="16" t="n">
        <v>0.13</v>
      </c>
      <c r="J30" s="15" t="n">
        <v>2608</v>
      </c>
      <c r="L30" s="15" t="n">
        <v>1325159</v>
      </c>
      <c r="N30" s="15" t="n">
        <v>5342597</v>
      </c>
      <c r="O30" s="15" t="n">
        <v>6234406</v>
      </c>
      <c r="P30" s="16" t="n">
        <v>0.86</v>
      </c>
      <c r="Q30" s="15" t="n">
        <v>6691335</v>
      </c>
      <c r="R30" s="16" t="n">
        <v>0.93</v>
      </c>
      <c r="S30" s="15" t="n">
        <v>16019196</v>
      </c>
      <c r="T30" s="16" t="n">
        <v>0.33</v>
      </c>
      <c r="U30" s="15" t="n">
        <v>11949524</v>
      </c>
      <c r="V30" s="16" t="n">
        <v>0.45</v>
      </c>
    </row>
    <row r="33" customFormat="false" ht="15" hidden="false" customHeight="false" outlineLevel="0" collapsed="false">
      <c r="C33" s="7" t="s">
        <v>8</v>
      </c>
      <c r="J33" s="7" t="s">
        <v>42</v>
      </c>
      <c r="N33" s="7" t="s">
        <v>10</v>
      </c>
      <c r="P33" s="7" t="s">
        <v>43</v>
      </c>
      <c r="S33" s="7" t="s">
        <v>11</v>
      </c>
    </row>
    <row r="35" customFormat="false" ht="15" hidden="false" customHeight="false" outlineLevel="0" collapsed="false">
      <c r="C35" s="8" t="s">
        <v>12</v>
      </c>
      <c r="D35" s="8" t="s">
        <v>13</v>
      </c>
      <c r="E35" s="8" t="s">
        <v>14</v>
      </c>
      <c r="F35" s="8" t="s">
        <v>15</v>
      </c>
      <c r="G35" s="8" t="s">
        <v>16</v>
      </c>
      <c r="H35" s="8" t="s">
        <v>15</v>
      </c>
      <c r="J35" s="8" t="s">
        <v>44</v>
      </c>
      <c r="K35" s="8" t="s">
        <v>45</v>
      </c>
      <c r="L35" s="8" t="s">
        <v>46</v>
      </c>
      <c r="N35" s="8" t="s">
        <v>18</v>
      </c>
      <c r="P35" s="8" t="s">
        <v>19</v>
      </c>
      <c r="Q35" s="8" t="s">
        <v>47</v>
      </c>
      <c r="R35" s="8" t="s">
        <v>46</v>
      </c>
      <c r="S35" s="8" t="s">
        <v>19</v>
      </c>
      <c r="T35" s="8" t="s">
        <v>20</v>
      </c>
      <c r="U35" s="8" t="s">
        <v>21</v>
      </c>
      <c r="V35" s="8" t="s">
        <v>23</v>
      </c>
      <c r="W35" s="8" t="s">
        <v>15</v>
      </c>
    </row>
    <row r="36" customFormat="false" ht="15" hidden="false" customHeight="false" outlineLevel="0" collapsed="false">
      <c r="B36" s="4" t="s">
        <v>48</v>
      </c>
      <c r="C36" s="9" t="n">
        <v>6417</v>
      </c>
      <c r="D36" s="9" t="n">
        <v>708860</v>
      </c>
      <c r="E36" s="9" t="n">
        <v>922307</v>
      </c>
      <c r="F36" s="10" t="n">
        <v>0.01</v>
      </c>
      <c r="G36" s="9" t="n">
        <v>141170</v>
      </c>
      <c r="H36" s="10" t="n">
        <v>0.15</v>
      </c>
      <c r="J36" s="9" t="n">
        <v>0</v>
      </c>
      <c r="K36" s="9" t="n">
        <v>1034926</v>
      </c>
      <c r="L36" s="10" t="n">
        <v>0</v>
      </c>
      <c r="N36" s="9" t="n">
        <v>564649</v>
      </c>
      <c r="P36" s="9" t="n">
        <v>3472174</v>
      </c>
      <c r="Q36" s="9" t="n">
        <v>4217926</v>
      </c>
      <c r="R36" s="10" t="n">
        <v>0.82</v>
      </c>
      <c r="S36" s="9" t="n">
        <v>3712172</v>
      </c>
      <c r="T36" s="9" t="n">
        <v>4114680</v>
      </c>
      <c r="U36" s="10" t="n">
        <v>0.9</v>
      </c>
      <c r="V36" s="9" t="n">
        <v>10649811</v>
      </c>
      <c r="W36" s="10" t="n">
        <v>0.35</v>
      </c>
    </row>
    <row r="37" customFormat="false" ht="15" hidden="false" customHeight="false" outlineLevel="0" collapsed="false">
      <c r="B37" s="4" t="s">
        <v>49</v>
      </c>
      <c r="C37" s="9" t="n">
        <v>2609</v>
      </c>
      <c r="D37" s="9" t="n">
        <v>187079</v>
      </c>
      <c r="E37" s="9" t="n">
        <v>345615</v>
      </c>
      <c r="F37" s="10" t="n">
        <v>0.01</v>
      </c>
      <c r="G37" s="9" t="n">
        <v>57404</v>
      </c>
      <c r="H37" s="10" t="n">
        <v>0.17</v>
      </c>
      <c r="J37" s="9" t="n">
        <v>2608</v>
      </c>
      <c r="K37" s="9" t="n">
        <v>346129</v>
      </c>
      <c r="L37" s="10" t="n">
        <v>0.01</v>
      </c>
      <c r="N37" s="9" t="n">
        <v>557705</v>
      </c>
      <c r="P37" s="9" t="n">
        <v>729635</v>
      </c>
      <c r="Q37" s="9" t="n">
        <v>1455339</v>
      </c>
      <c r="R37" s="10" t="n">
        <v>0.5</v>
      </c>
      <c r="S37" s="9" t="n">
        <v>1049820</v>
      </c>
      <c r="T37" s="9" t="n">
        <v>1503782</v>
      </c>
      <c r="U37" s="10" t="n">
        <v>0.7</v>
      </c>
      <c r="V37" s="9" t="n">
        <v>3566385</v>
      </c>
      <c r="W37" s="10" t="n">
        <v>0.29</v>
      </c>
    </row>
    <row r="38" customFormat="false" ht="15" hidden="false" customHeight="false" outlineLevel="0" collapsed="false">
      <c r="B38" s="4" t="s">
        <v>50</v>
      </c>
      <c r="C38" s="9" t="n">
        <v>0</v>
      </c>
      <c r="D38" s="9" t="n">
        <v>32064</v>
      </c>
      <c r="E38" s="9" t="n">
        <v>54500</v>
      </c>
      <c r="F38" s="10" t="n">
        <v>0</v>
      </c>
      <c r="G38" s="9" t="n">
        <v>0</v>
      </c>
      <c r="H38" s="10" t="n">
        <v>0</v>
      </c>
      <c r="J38" s="9" t="n">
        <v>0</v>
      </c>
      <c r="K38" s="9" t="n">
        <v>24961</v>
      </c>
      <c r="L38" s="10" t="n">
        <v>0</v>
      </c>
      <c r="N38" s="9" t="n">
        <v>0</v>
      </c>
      <c r="P38" s="9" t="n">
        <v>32032</v>
      </c>
      <c r="Q38" s="9" t="n">
        <v>102625</v>
      </c>
      <c r="R38" s="10" t="n">
        <v>0.31</v>
      </c>
      <c r="S38" s="9" t="n">
        <v>83390</v>
      </c>
      <c r="T38" s="9" t="n">
        <v>115878</v>
      </c>
      <c r="U38" s="10" t="n">
        <v>0.72</v>
      </c>
      <c r="V38" s="9" t="n">
        <v>339000</v>
      </c>
      <c r="W38" s="10" t="n">
        <v>0.25</v>
      </c>
    </row>
    <row r="39" customFormat="false" ht="15" hidden="false" customHeight="false" outlineLevel="0" collapsed="false">
      <c r="B39" s="4" t="s">
        <v>51</v>
      </c>
      <c r="C39" s="9" t="n">
        <v>0</v>
      </c>
      <c r="D39" s="9" t="n">
        <v>0</v>
      </c>
      <c r="E39" s="9" t="n">
        <v>57000</v>
      </c>
      <c r="F39" s="10" t="n">
        <v>0</v>
      </c>
      <c r="G39" s="9" t="n">
        <v>0</v>
      </c>
      <c r="H39" s="10" t="n">
        <v>0</v>
      </c>
      <c r="J39" s="9" t="n">
        <v>0</v>
      </c>
      <c r="K39" s="9" t="n">
        <v>27961</v>
      </c>
      <c r="L39" s="10" t="n">
        <v>0</v>
      </c>
      <c r="N39" s="9" t="n">
        <v>0</v>
      </c>
      <c r="P39" s="9" t="n">
        <v>130637</v>
      </c>
      <c r="Q39" s="9" t="n">
        <v>106173</v>
      </c>
      <c r="R39" s="10" t="n">
        <v>1.23</v>
      </c>
      <c r="S39" s="9" t="n">
        <v>143078</v>
      </c>
      <c r="T39" s="9" t="n">
        <v>152023</v>
      </c>
      <c r="U39" s="10" t="n">
        <v>0.94</v>
      </c>
      <c r="V39" s="9" t="n">
        <v>264000</v>
      </c>
      <c r="W39" s="10" t="n">
        <v>0.54</v>
      </c>
    </row>
    <row r="40" customFormat="false" ht="15" hidden="false" customHeight="false" outlineLevel="0" collapsed="false">
      <c r="B40" s="4" t="s">
        <v>52</v>
      </c>
      <c r="C40" s="9" t="n">
        <v>0</v>
      </c>
      <c r="D40" s="9" t="n">
        <v>51929</v>
      </c>
      <c r="E40" s="9" t="n">
        <v>100000</v>
      </c>
      <c r="F40" s="10" t="n">
        <v>0</v>
      </c>
      <c r="G40" s="9" t="n">
        <v>0</v>
      </c>
      <c r="H40" s="10" t="n">
        <v>0</v>
      </c>
      <c r="J40" s="9" t="n">
        <v>0</v>
      </c>
      <c r="K40" s="9" t="n">
        <v>99999</v>
      </c>
      <c r="L40" s="10" t="n">
        <v>0</v>
      </c>
      <c r="N40" s="9" t="n">
        <v>186261</v>
      </c>
      <c r="P40" s="9" t="n">
        <v>243378</v>
      </c>
      <c r="Q40" s="9" t="n">
        <v>490259</v>
      </c>
      <c r="R40" s="10" t="n">
        <v>0.5</v>
      </c>
      <c r="S40" s="9" t="n">
        <v>354136</v>
      </c>
      <c r="T40" s="9" t="n">
        <v>348044</v>
      </c>
      <c r="U40" s="10" t="n">
        <v>1.02</v>
      </c>
      <c r="V40" s="9" t="n">
        <v>1200000</v>
      </c>
      <c r="W40" s="10" t="n">
        <v>0.3</v>
      </c>
    </row>
    <row r="41" customFormat="false" ht="15" hidden="false" customHeight="false" outlineLevel="0" collapsed="false">
      <c r="B41" s="4" t="s">
        <v>53</v>
      </c>
      <c r="C41" s="9" t="n">
        <v>0</v>
      </c>
      <c r="D41" s="9" t="n">
        <v>0</v>
      </c>
      <c r="E41" s="9" t="n">
        <v>0</v>
      </c>
      <c r="F41" s="10" t="n">
        <v>0</v>
      </c>
      <c r="G41" s="9" t="n">
        <v>0</v>
      </c>
      <c r="H41" s="10" t="n">
        <v>0</v>
      </c>
      <c r="J41" s="9" t="n">
        <v>0</v>
      </c>
      <c r="K41" s="9" t="n">
        <v>0</v>
      </c>
      <c r="L41" s="10" t="n">
        <v>0</v>
      </c>
      <c r="N41" s="9" t="n">
        <v>16544</v>
      </c>
      <c r="P41" s="9" t="n">
        <v>0</v>
      </c>
      <c r="Q41" s="9" t="n">
        <v>0</v>
      </c>
      <c r="R41" s="10" t="n">
        <v>0</v>
      </c>
      <c r="S41" s="9" t="n">
        <v>0</v>
      </c>
      <c r="T41" s="9" t="n">
        <v>0</v>
      </c>
      <c r="U41" s="10" t="n">
        <v>0</v>
      </c>
      <c r="V41" s="9" t="n">
        <v>0</v>
      </c>
      <c r="W41" s="10" t="n">
        <v>0</v>
      </c>
    </row>
    <row r="42" customFormat="false" ht="15" hidden="false" customHeight="false" outlineLevel="0" collapsed="false">
      <c r="B42" s="4" t="s">
        <v>54</v>
      </c>
      <c r="C42" s="9" t="n">
        <v>0</v>
      </c>
      <c r="D42" s="9" t="n">
        <v>0</v>
      </c>
      <c r="E42" s="9" t="n">
        <v>0</v>
      </c>
      <c r="F42" s="10" t="n">
        <v>0</v>
      </c>
      <c r="G42" s="9" t="n">
        <v>0</v>
      </c>
      <c r="H42" s="10" t="n">
        <v>0</v>
      </c>
      <c r="J42" s="9" t="n">
        <v>0</v>
      </c>
      <c r="K42" s="9" t="n">
        <v>0</v>
      </c>
      <c r="L42" s="10" t="n">
        <v>0</v>
      </c>
      <c r="N42" s="9" t="n">
        <v>0</v>
      </c>
      <c r="P42" s="9" t="n">
        <v>0</v>
      </c>
      <c r="Q42" s="9" t="n">
        <v>0</v>
      </c>
      <c r="R42" s="10" t="n">
        <v>0</v>
      </c>
      <c r="S42" s="9" t="n">
        <v>0</v>
      </c>
      <c r="T42" s="9" t="n">
        <v>0</v>
      </c>
      <c r="U42" s="10" t="n">
        <v>0</v>
      </c>
      <c r="V42" s="9" t="n">
        <v>0</v>
      </c>
      <c r="W42" s="10" t="n">
        <v>0</v>
      </c>
    </row>
    <row r="43" customFormat="false" ht="15" hidden="false" customHeight="false" outlineLevel="0" collapsed="false">
      <c r="B43" s="11" t="s">
        <v>55</v>
      </c>
      <c r="C43" s="12" t="n">
        <v>9026</v>
      </c>
      <c r="D43" s="12" t="n">
        <v>979932</v>
      </c>
      <c r="E43" s="12" t="n">
        <v>1479422</v>
      </c>
      <c r="F43" s="13" t="n">
        <v>0.01</v>
      </c>
      <c r="G43" s="12" t="n">
        <v>198574</v>
      </c>
      <c r="H43" s="13" t="n">
        <v>0.13</v>
      </c>
      <c r="J43" s="12" t="n">
        <v>2608</v>
      </c>
      <c r="K43" s="12" t="n">
        <v>1533976</v>
      </c>
      <c r="L43" s="13" t="n">
        <v>0</v>
      </c>
      <c r="N43" s="12" t="n">
        <v>1325159</v>
      </c>
      <c r="P43" s="12" t="n">
        <v>4607857</v>
      </c>
      <c r="Q43" s="12" t="n">
        <v>6372322</v>
      </c>
      <c r="R43" s="13" t="n">
        <v>0.72</v>
      </c>
      <c r="S43" s="12" t="n">
        <v>5342597</v>
      </c>
      <c r="T43" s="12" t="n">
        <v>6234406</v>
      </c>
      <c r="U43" s="13" t="n">
        <v>0.86</v>
      </c>
      <c r="V43" s="12" t="n">
        <v>16019196</v>
      </c>
      <c r="W43" s="13" t="n">
        <v>0.33</v>
      </c>
    </row>
    <row r="44" customFormat="false" ht="15" hidden="false" customHeight="false" outlineLevel="0" collapsed="false">
      <c r="B44" s="4" t="s">
        <v>56</v>
      </c>
      <c r="C44" s="9" t="n">
        <v>0</v>
      </c>
      <c r="D44" s="9" t="n">
        <v>0</v>
      </c>
      <c r="E44" s="9" t="n">
        <v>0</v>
      </c>
      <c r="F44" s="10" t="n">
        <v>0</v>
      </c>
      <c r="G44" s="9" t="n">
        <v>0</v>
      </c>
      <c r="H44" s="10" t="n">
        <v>0</v>
      </c>
      <c r="J44" s="9" t="n">
        <v>0</v>
      </c>
      <c r="K44" s="9" t="n">
        <v>83162</v>
      </c>
      <c r="L44" s="10" t="n">
        <v>0</v>
      </c>
      <c r="N44" s="9" t="n">
        <v>0</v>
      </c>
      <c r="P44" s="9" t="n">
        <v>292273</v>
      </c>
      <c r="Q44" s="9" t="n">
        <v>341626</v>
      </c>
      <c r="R44" s="10" t="n">
        <v>0.86</v>
      </c>
      <c r="S44" s="9" t="n">
        <v>0</v>
      </c>
      <c r="T44" s="9" t="n">
        <v>0</v>
      </c>
      <c r="U44" s="10" t="n">
        <v>0</v>
      </c>
      <c r="V44" s="9" t="n">
        <v>0</v>
      </c>
      <c r="W44" s="10" t="n">
        <v>0</v>
      </c>
    </row>
    <row r="45" customFormat="false" ht="15" hidden="false" customHeight="false" outlineLevel="0" collapsed="false">
      <c r="B45" s="14" t="s">
        <v>57</v>
      </c>
      <c r="C45" s="15" t="n">
        <v>9026</v>
      </c>
      <c r="D45" s="15" t="n">
        <v>979932</v>
      </c>
      <c r="E45" s="15" t="n">
        <v>0</v>
      </c>
      <c r="F45" s="16" t="n">
        <v>0</v>
      </c>
      <c r="G45" s="15" t="n">
        <v>198574</v>
      </c>
      <c r="H45" s="16" t="n">
        <v>0</v>
      </c>
      <c r="J45" s="15" t="n">
        <v>2608</v>
      </c>
      <c r="K45" s="15" t="n">
        <v>1617138</v>
      </c>
      <c r="L45" s="16" t="n">
        <v>0</v>
      </c>
      <c r="N45" s="15" t="n">
        <v>1325159</v>
      </c>
      <c r="P45" s="15" t="n">
        <v>4900130</v>
      </c>
      <c r="Q45" s="15" t="n">
        <v>6713948</v>
      </c>
      <c r="R45" s="16" t="n">
        <v>0.73</v>
      </c>
      <c r="S45" s="15" t="n">
        <v>5342597</v>
      </c>
      <c r="T45" s="15" t="n">
        <v>6234406</v>
      </c>
      <c r="U45" s="16" t="n">
        <v>0.86</v>
      </c>
      <c r="V45" s="15" t="n">
        <v>16019196</v>
      </c>
      <c r="W45" s="16" t="n">
        <v>0.33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" min="2" style="0" width="15"/>
  </cols>
  <sheetData>
    <row r="1" customFormat="false" ht="15" hidden="false" customHeight="false" outlineLevel="0" collapsed="false">
      <c r="A1" s="17" t="s">
        <v>58</v>
      </c>
    </row>
    <row r="3" customFormat="false" ht="15" hidden="false" customHeight="false" outlineLevel="0" collapsed="false">
      <c r="A3" s="18" t="s">
        <v>59</v>
      </c>
      <c r="B3" s="18" t="s">
        <v>44</v>
      </c>
      <c r="C3" s="18" t="s">
        <v>60</v>
      </c>
      <c r="D3" s="18" t="s">
        <v>61</v>
      </c>
      <c r="E3" s="18" t="s">
        <v>47</v>
      </c>
      <c r="F3" s="18" t="s">
        <v>62</v>
      </c>
    </row>
    <row r="4" customFormat="false" ht="15" hidden="false" customHeight="false" outlineLevel="0" collapsed="false">
      <c r="A4" s="4" t="s">
        <v>48</v>
      </c>
      <c r="B4" s="9" t="n">
        <v>0</v>
      </c>
      <c r="C4" s="9" t="n">
        <v>1034926</v>
      </c>
      <c r="D4" s="9" t="n">
        <v>3472174</v>
      </c>
      <c r="E4" s="9" t="n">
        <v>4217926</v>
      </c>
      <c r="F4" s="9" t="n">
        <v>564649</v>
      </c>
    </row>
    <row r="5" customFormat="false" ht="15" hidden="false" customHeight="false" outlineLevel="0" collapsed="false">
      <c r="A5" s="4" t="s">
        <v>49</v>
      </c>
      <c r="B5" s="9" t="n">
        <v>2608</v>
      </c>
      <c r="C5" s="9" t="n">
        <v>346129</v>
      </c>
      <c r="D5" s="9" t="n">
        <v>729635</v>
      </c>
      <c r="E5" s="9" t="n">
        <v>1455339</v>
      </c>
      <c r="F5" s="9" t="n">
        <v>557705</v>
      </c>
    </row>
    <row r="6" customFormat="false" ht="15" hidden="false" customHeight="false" outlineLevel="0" collapsed="false">
      <c r="A6" s="4" t="s">
        <v>50</v>
      </c>
      <c r="B6" s="9" t="n">
        <v>0</v>
      </c>
      <c r="C6" s="9" t="n">
        <v>24961</v>
      </c>
      <c r="D6" s="9" t="n">
        <v>32032</v>
      </c>
      <c r="E6" s="9" t="n">
        <v>102625</v>
      </c>
      <c r="F6" s="9" t="n">
        <v>0</v>
      </c>
    </row>
    <row r="7" customFormat="false" ht="15" hidden="false" customHeight="false" outlineLevel="0" collapsed="false">
      <c r="A7" s="4" t="s">
        <v>51</v>
      </c>
      <c r="B7" s="9" t="n">
        <v>0</v>
      </c>
      <c r="C7" s="9" t="n">
        <v>27961</v>
      </c>
      <c r="D7" s="9" t="n">
        <v>130637</v>
      </c>
      <c r="E7" s="9" t="n">
        <v>106173</v>
      </c>
      <c r="F7" s="9" t="n">
        <v>0</v>
      </c>
    </row>
    <row r="8" customFormat="false" ht="15" hidden="false" customHeight="false" outlineLevel="0" collapsed="false">
      <c r="A8" s="4" t="s">
        <v>52</v>
      </c>
      <c r="B8" s="9" t="n">
        <v>0</v>
      </c>
      <c r="C8" s="9" t="n">
        <v>99999</v>
      </c>
      <c r="D8" s="9" t="n">
        <v>243378</v>
      </c>
      <c r="E8" s="9" t="n">
        <v>490259</v>
      </c>
      <c r="F8" s="9" t="n">
        <v>186261</v>
      </c>
    </row>
    <row r="9" customFormat="false" ht="15" hidden="false" customHeight="false" outlineLevel="0" collapsed="false">
      <c r="A9" s="4" t="s">
        <v>53</v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16544</v>
      </c>
    </row>
    <row r="10" customFormat="false" ht="15" hidden="false" customHeight="false" outlineLevel="0" collapsed="false">
      <c r="A10" s="4" t="s">
        <v>54</v>
      </c>
      <c r="B10" s="9" t="n">
        <v>0</v>
      </c>
      <c r="C10" s="9" t="n">
        <v>0</v>
      </c>
      <c r="D10" s="9" t="n">
        <v>0</v>
      </c>
      <c r="E10" s="9" t="n">
        <v>0</v>
      </c>
      <c r="F10" s="9" t="n">
        <v>0</v>
      </c>
    </row>
    <row r="11" customFormat="false" ht="15" hidden="false" customHeight="false" outlineLevel="0" collapsed="false">
      <c r="A11" s="4" t="s">
        <v>56</v>
      </c>
      <c r="B11" s="9" t="n">
        <v>0</v>
      </c>
      <c r="C11" s="9" t="n">
        <v>83162</v>
      </c>
      <c r="D11" s="9" t="n">
        <v>292273</v>
      </c>
      <c r="E11" s="9" t="n">
        <v>341626</v>
      </c>
      <c r="F11" s="9" t="n">
        <v>0</v>
      </c>
    </row>
    <row r="12" customFormat="false" ht="15" hidden="false" customHeight="false" outlineLevel="0" collapsed="false">
      <c r="A12" s="19" t="s">
        <v>55</v>
      </c>
      <c r="B12" s="20" t="n">
        <f aca="false">SUM(B4:B11)</f>
        <v>2608</v>
      </c>
      <c r="C12" s="20" t="n">
        <f aca="false">SUM(C4:C11)</f>
        <v>1617138</v>
      </c>
      <c r="D12" s="20" t="n">
        <f aca="false">SUM(D4:D11)</f>
        <v>4900129</v>
      </c>
      <c r="E12" s="20" t="n">
        <f aca="false">SUM(E4:E11)</f>
        <v>6713948</v>
      </c>
      <c r="F12" s="20" t="n">
        <f aca="false">SUM(F4:F11)</f>
        <v>1325159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2026-06-02T21:38:18Z</dcterms:created>
  <dc:creator>openpyxl</dc:creator>
  <dc:description/>
  <dc:language>en-US</dc:language>
  <cp:lastModifiedBy/>
  <dcterms:modified xsi:type="dcterms:W3CDTF">2026-06-02T21:38:18Z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