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VENUE" sheetId="2" state="visible" r:id="rId4"/>
    <sheet name="ORD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<sst xmlns="http://schemas.openxmlformats.org/spreadsheetml/2006/main" count="137" uniqueCount="97">
  <si>
    <t xml:space="preserve">FireRock Building Materials</t>
  </si>
  <si>
    <t xml:space="preserve">Daily Sales &amp; Revenue Report</t>
  </si>
  <si>
    <t xml:space="preserve">Month</t>
  </si>
  <si>
    <t xml:space="preserve"># Working Days in Month</t>
  </si>
  <si>
    <t xml:space="preserve"># Working Days in Year</t>
  </si>
  <si>
    <t xml:space="preserve"># Days In</t>
  </si>
  <si>
    <t xml:space="preserve"># Days In (YTD)</t>
  </si>
  <si>
    <t xml:space="preserve"># Days to Go</t>
  </si>
  <si>
    <t xml:space="preserve"># Days to Go (YTD)</t>
  </si>
  <si>
    <t xml:space="preserve">SALES ORDERS - CURRENT MONTH</t>
  </si>
  <si>
    <t xml:space="preserve">REVENUE</t>
  </si>
  <si>
    <t xml:space="preserve">BACKLOG</t>
  </si>
  <si>
    <t xml:space="preserve">SALES ORDERS - YTD</t>
  </si>
  <si>
    <t xml:space="preserve">Jun-26</t>
  </si>
  <si>
    <t xml:space="preserve">Jun-25</t>
  </si>
  <si>
    <t xml:space="preserve">Quota</t>
  </si>
  <si>
    <t xml:space="preserve">% Quota</t>
  </si>
  <si>
    <t xml:space="preserve">Forecast</t>
  </si>
  <si>
    <t xml:space="preserve">Rev MTD</t>
  </si>
  <si>
    <t xml:space="preserve">Backlog</t>
  </si>
  <si>
    <t xml:space="preserve">CY YTD</t>
  </si>
  <si>
    <t xml:space="preserve">PY YTD</t>
  </si>
  <si>
    <t xml:space="preserve">% PY</t>
  </si>
  <si>
    <t xml:space="preserve">Quota YTD</t>
  </si>
  <si>
    <t xml:space="preserve">Annual Quota</t>
  </si>
  <si>
    <t xml:space="preserve">Prior FYE</t>
  </si>
  <si>
    <t xml:space="preserve">% Pr FYE</t>
  </si>
  <si>
    <t xml:space="preserve">ERIC BLASKOWSKI</t>
  </si>
  <si>
    <t xml:space="preserve">KEVIN KEITH</t>
  </si>
  <si>
    <t xml:space="preserve">THORNTON COLE</t>
  </si>
  <si>
    <t xml:space="preserve">MICHAEL KUHLMAN</t>
  </si>
  <si>
    <t xml:space="preserve">HAMP BRILEY</t>
  </si>
  <si>
    <t xml:space="preserve">GRAYSON MOOREHEAD</t>
  </si>
  <si>
    <t xml:space="preserve">BEAU BOUTHILLIER</t>
  </si>
  <si>
    <t xml:space="preserve">SUZANNE HORST</t>
  </si>
  <si>
    <t xml:space="preserve">TIFFANY HASKEKER</t>
  </si>
  <si>
    <t xml:space="preserve">TOTAL FIREROCK SALES TEAM</t>
  </si>
  <si>
    <t xml:space="preserve">HOUSE/CORP PRODUCTS</t>
  </si>
  <si>
    <t xml:space="preserve">ELITE DEALS</t>
  </si>
  <si>
    <t xml:space="preserve">KCB</t>
  </si>
  <si>
    <t xml:space="preserve">NET DIRECT</t>
  </si>
  <si>
    <t xml:space="preserve">WOODLAND DIRECT</t>
  </si>
  <si>
    <t xml:space="preserve">TOTAL FIREROCK SALES</t>
  </si>
  <si>
    <t xml:space="preserve">REVENUE - CURRENT MONTH</t>
  </si>
  <si>
    <t xml:space="preserve">REVENUE - YTD</t>
  </si>
  <si>
    <t xml:space="preserve">Budget</t>
  </si>
  <si>
    <t xml:space="preserve">% Budget</t>
  </si>
  <si>
    <t xml:space="preserve">Budget YTD</t>
  </si>
  <si>
    <t xml:space="preserve">FIREPLACE/PP</t>
  </si>
  <si>
    <t xml:space="preserve">PAVER/PP</t>
  </si>
  <si>
    <t xml:space="preserve">ROOFING</t>
  </si>
  <si>
    <t xml:space="preserve">FLOORING</t>
  </si>
  <si>
    <t xml:space="preserve">INSTALLATION</t>
  </si>
  <si>
    <t xml:space="preserve">SWD</t>
  </si>
  <si>
    <t xml:space="preserve">OTHER</t>
  </si>
  <si>
    <t xml:space="preserve">TOTAL</t>
  </si>
  <si>
    <t xml:space="preserve">FREIGHT</t>
  </si>
  <si>
    <t xml:space="preserve">TOTAL W/ FREIGHT</t>
  </si>
  <si>
    <t xml:space="preserve">FireRock - Monthly Revenue by Rep</t>
  </si>
  <si>
    <t xml:space="preserve">SALES REP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</si>
  <si>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</si>
  <si>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</si>
  <si>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</si>
  <si>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</si>
  <si>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</si>
  <si>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Grand Total</t>
  </si>
  <si>
    <t xml:space="preserve">HOUSE</t>
  </si>
  <si>
    <t xml:space="preserve">TIFFANY HASEKER</t>
  </si>
  <si>
    <t xml:space="preserve">GRAY MOOREHEAD</t>
  </si>
  <si>
    <t xml:space="preserve">SO #</t>
  </si>
  <si>
    <t xml:space="preserve">CUSTOMER</t>
  </si>
  <si>
    <t xml:space="preserve">AMOUNT</t>
  </si>
  <si>
    <t xml:space="preserve">NOTE</t>
  </si>
  <si>
    <t xml:space="preserve">FRKO150415</t>
  </si>
  <si>
    <t xml:space="preserve">CAPITAL BRICK COMPANY</t>
  </si>
  <si>
    <t xml:space="preserve">FRKO150416</t>
  </si>
  <si>
    <t xml:space="preserve">SITE ONE LANDSCAPE - BIRMINGHAM</t>
  </si>
  <si>
    <t xml:space="preserve">FRKO150417</t>
  </si>
  <si>
    <t xml:space="preserve">ALABAMA BRICK</t>
  </si>
  <si>
    <t xml:space="preserve">FRKO150425</t>
  </si>
  <si>
    <t xml:space="preserve">RUSSELL DO IT CENTER - ALEX CITY</t>
  </si>
  <si>
    <t xml:space="preserve">FRKO150410</t>
  </si>
  <si>
    <t xml:space="preserve">EXTREME CHIMNEYS</t>
  </si>
  <si>
    <t xml:space="preserve">FRKO150420</t>
  </si>
  <si>
    <t xml:space="preserve">DANIEL BRICK - 2</t>
  </si>
  <si>
    <t xml:space="preserve">Prepay required</t>
  </si>
  <si>
    <t xml:space="preserve">FRKO150418</t>
  </si>
  <si>
    <t xml:space="preserve">CUSTOM - BILT CABINET AND SUPPLY</t>
  </si>
  <si>
    <t xml:space="preserve">FRKO150423</t>
  </si>
  <si>
    <t xml:space="preserve">OLD SOUTH BRICK &amp; SUPPLY</t>
  </si>
  <si>
    <t xml:space="preserve">FRKO150412</t>
  </si>
  <si>
    <t xml:space="preserve">OBERFIELD'S</t>
  </si>
  <si>
    <t xml:space="preserve">FRKO150419</t>
  </si>
  <si>
    <t xml:space="preserve">BARKMAN CONCRETE LIMITED</t>
  </si>
  <si>
    <t xml:space="preserve">FRKO150426</t>
  </si>
  <si>
    <t xml:space="preserve">FRKO150413-P</t>
  </si>
  <si>
    <t xml:space="preserve">PAVER SAMPLES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</si>
</sst>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%;\(0%\);\-"/>
    <numFmt numFmtId="167" formatCode="#,##0;\(#,##0\);\-"/>
    <numFmt numFmtId="168" formatCode="#,##0;\(#,##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F4E"/>
      <name val="Arial"/>
      <family val="0"/>
      <charset val="1"/>
    </font>
    <font>
      <b val="true"/>
      <sz val="11"/>
      <color rgb="FFC8952A"/>
      <name val="Arial"/>
      <family val="0"/>
      <charset val="1"/>
    </font>
    <font>
      <sz val="9"/>
      <name val="Arial"/>
      <family val="0"/>
      <charset val="1"/>
    </font>
    <font>
      <b val="true"/>
      <sz val="8"/>
      <color rgb="FF1F2F4E"/>
      <name val="Arial"/>
      <family val="0"/>
      <charset val="1"/>
    </font>
    <font>
      <b val="true"/>
      <sz val="8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1F2F4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9EBEE"/>
        <bgColor rgb="FFFFFFFF"/>
      </patternFill>
    </fill>
    <fill>
      <patternFill patternType="solid">
        <fgColor rgb="FFC8952A"/>
        <bgColor rgb="FFFF8080"/>
      </patternFill>
    </fill>
    <fill>
      <patternFill patternType="solid">
        <fgColor rgb="FF1F2F4E"/>
        <bgColor rgb="FF003366"/>
      </patternFill>
    </fill>
    <fill>
      <patternFill patternType="solid">
        <fgColor rgb="FF4A4A9C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E9EB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952A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4A4A9C"/>
      <rgbColor rgb="FF1F2F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V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22" min="3" style="1" width="11"/>
  </cols>
  <sheetData>
    <row r="1" customFormat="false" ht="17.2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3" customFormat="false" ht="15" hidden="false" customHeight="true" outlineLevel="0" collapsed="false">
      <c r="B3" s="4" t="n">
        <v>46175</v>
      </c>
    </row>
    <row r="4" customFormat="false" ht="15" hidden="false" customHeight="true" outlineLevel="0" collapsed="false">
      <c r="B4" s="5" t="s">
        <v>2</v>
      </c>
      <c r="C4" s="1" t="n">
        <v>6</v>
      </c>
    </row>
    <row r="5" customFormat="false" ht="15" hidden="false" customHeight="true" outlineLevel="0" collapsed="false">
      <c r="B5" s="5" t="s">
        <v>3</v>
      </c>
      <c r="D5" s="1" t="n">
        <v>22</v>
      </c>
      <c r="I5" s="5" t="s">
        <v>4</v>
      </c>
      <c r="K5" s="1" t="n">
        <v>254</v>
      </c>
    </row>
    <row r="6" customFormat="false" ht="15" hidden="false" customHeight="true" outlineLevel="0" collapsed="false">
      <c r="B6" s="5" t="s">
        <v>5</v>
      </c>
      <c r="D6" s="1" t="n">
        <v>2</v>
      </c>
      <c r="E6" s="6" t="n">
        <f aca="false">IFERROR(D6/D5,0)</f>
        <v>0.0909090909090909</v>
      </c>
      <c r="I6" s="5" t="s">
        <v>6</v>
      </c>
      <c r="K6" s="1" t="n">
        <v>108</v>
      </c>
      <c r="L6" s="6" t="n">
        <f aca="false">IFERROR(K6/K5,0)</f>
        <v>0.425196850393701</v>
      </c>
    </row>
    <row r="7" customFormat="false" ht="15" hidden="false" customHeight="true" outlineLevel="0" collapsed="false">
      <c r="B7" s="5" t="s">
        <v>7</v>
      </c>
      <c r="D7" s="1" t="n">
        <f aca="false">D5-D6</f>
        <v>20</v>
      </c>
      <c r="I7" s="5" t="s">
        <v>8</v>
      </c>
      <c r="K7" s="1" t="n">
        <f aca="false">K5-K6</f>
        <v>146</v>
      </c>
    </row>
    <row r="11" customFormat="false" ht="15" hidden="false" customHeight="true" outlineLevel="0" collapsed="false">
      <c r="C11" s="7" t="s">
        <v>9</v>
      </c>
      <c r="J11" s="7" t="s">
        <v>10</v>
      </c>
      <c r="L11" s="7" t="s">
        <v>11</v>
      </c>
      <c r="N11" s="7" t="s">
        <v>12</v>
      </c>
    </row>
    <row r="13" customFormat="false" ht="15" hidden="false" customHeight="true" outlineLevel="0" collapsed="false">
      <c r="C13" s="8" t="s">
        <v>13</v>
      </c>
      <c r="D13" s="8" t="s">
        <v>14</v>
      </c>
      <c r="E13" s="8" t="s">
        <v>15</v>
      </c>
      <c r="F13" s="8" t="s">
        <v>16</v>
      </c>
      <c r="G13" s="8" t="s">
        <v>17</v>
      </c>
      <c r="H13" s="8" t="s">
        <v>16</v>
      </c>
      <c r="J13" s="8" t="s">
        <v>18</v>
      </c>
      <c r="L13" s="8" t="s">
        <v>19</v>
      </c>
      <c r="N13" s="8" t="s">
        <v>20</v>
      </c>
      <c r="O13" s="8" t="s">
        <v>21</v>
      </c>
      <c r="P13" s="8" t="s">
        <v>22</v>
      </c>
      <c r="Q13" s="8" t="s">
        <v>23</v>
      </c>
      <c r="R13" s="8" t="s">
        <v>16</v>
      </c>
      <c r="S13" s="8" t="s">
        <v>24</v>
      </c>
      <c r="T13" s="8" t="s">
        <v>16</v>
      </c>
      <c r="U13" s="8" t="s">
        <v>25</v>
      </c>
      <c r="V13" s="8" t="s">
        <v>26</v>
      </c>
    </row>
    <row r="14" customFormat="false" ht="15" hidden="false" customHeight="true" outlineLevel="0" collapsed="false">
      <c r="B14" s="5" t="s">
        <v>27</v>
      </c>
      <c r="C14" s="9" t="n">
        <v>11159</v>
      </c>
      <c r="D14" s="9" t="n">
        <v>239895</v>
      </c>
      <c r="E14" s="9" t="n">
        <v>352500</v>
      </c>
      <c r="F14" s="10" t="n">
        <f aca="false">IFERROR(C14/E14,0)</f>
        <v>0.0316567375886525</v>
      </c>
      <c r="G14" s="9" t="n">
        <v>122748</v>
      </c>
      <c r="H14" s="10" t="n">
        <f aca="false">IFERROR(G14/E14,0)</f>
        <v>0.348221276595745</v>
      </c>
      <c r="J14" s="9" t="n">
        <v>5847</v>
      </c>
      <c r="L14" s="9" t="n">
        <v>497055</v>
      </c>
      <c r="N14" s="9" t="n">
        <v>1184086</v>
      </c>
      <c r="O14" s="9" t="n">
        <v>1267368</v>
      </c>
      <c r="P14" s="10" t="n">
        <f aca="false">IFERROR(N14/O14,0)</f>
        <v>0.934287436640344</v>
      </c>
      <c r="Q14" s="9" t="n">
        <v>1488189</v>
      </c>
      <c r="R14" s="10" t="n">
        <f aca="false">IFERROR(N14/Q14,0)</f>
        <v>0.795655659328217</v>
      </c>
      <c r="S14" s="9" t="n">
        <v>3500000</v>
      </c>
      <c r="T14" s="10" t="n">
        <f aca="false">IFERROR(N14/S14,0)</f>
        <v>0.338310285714286</v>
      </c>
      <c r="U14" s="9" t="n">
        <v>2794760</v>
      </c>
      <c r="V14" s="10" t="n">
        <f aca="false">IFERROR(N14/U14,0)</f>
        <v>0.423680745394953</v>
      </c>
    </row>
    <row r="15" customFormat="false" ht="15" hidden="false" customHeight="true" outlineLevel="0" collapsed="false">
      <c r="B15" s="5" t="s">
        <v>28</v>
      </c>
      <c r="C15" s="9" t="n">
        <v>18280</v>
      </c>
      <c r="D15" s="9" t="n">
        <v>187602</v>
      </c>
      <c r="E15" s="9" t="n">
        <v>253000</v>
      </c>
      <c r="F15" s="10" t="n">
        <f aca="false">IFERROR(C15/E15,0)</f>
        <v>0.0722529644268775</v>
      </c>
      <c r="G15" s="9" t="n">
        <v>201079</v>
      </c>
      <c r="H15" s="10" t="n">
        <f aca="false">IFERROR(G15/E15,0)</f>
        <v>0.794778656126482</v>
      </c>
      <c r="J15" s="9" t="n">
        <v>2608</v>
      </c>
      <c r="L15" s="9" t="n">
        <v>213466</v>
      </c>
      <c r="N15" s="9" t="n">
        <v>1151107</v>
      </c>
      <c r="O15" s="9" t="n">
        <v>1200136</v>
      </c>
      <c r="P15" s="10" t="n">
        <f aca="false">IFERROR(N15/O15,0)</f>
        <v>0.959147129991934</v>
      </c>
      <c r="Q15" s="9" t="n">
        <v>1091055</v>
      </c>
      <c r="R15" s="10" t="n">
        <f aca="false">IFERROR(N15/Q15,0)</f>
        <v>1.05504030502587</v>
      </c>
      <c r="S15" s="9" t="n">
        <v>2566000</v>
      </c>
      <c r="T15" s="10" t="n">
        <f aca="false">IFERROR(N15/S15,0)</f>
        <v>0.448599766173032</v>
      </c>
      <c r="U15" s="9" t="n">
        <v>2165530</v>
      </c>
      <c r="V15" s="10" t="n">
        <f aca="false">IFERROR(N15/U15,0)</f>
        <v>0.531559017884767</v>
      </c>
    </row>
    <row r="16" customFormat="false" ht="15" hidden="false" customHeight="true" outlineLevel="0" collapsed="false">
      <c r="B16" s="5" t="s">
        <v>29</v>
      </c>
      <c r="C16" s="9" t="n">
        <v>6758</v>
      </c>
      <c r="D16" s="9" t="n">
        <v>321418</v>
      </c>
      <c r="E16" s="9" t="n">
        <v>406000</v>
      </c>
      <c r="F16" s="10" t="n">
        <f aca="false">IFERROR(C16/E16,0)</f>
        <v>0.0166453201970443</v>
      </c>
      <c r="G16" s="9" t="n">
        <v>74335</v>
      </c>
      <c r="H16" s="10" t="n">
        <f aca="false">IFERROR(G16/E16,0)</f>
        <v>0.183091133004926</v>
      </c>
      <c r="J16" s="9" t="n">
        <v>7210</v>
      </c>
      <c r="L16" s="9" t="n">
        <v>261550</v>
      </c>
      <c r="N16" s="9" t="n">
        <v>1638827</v>
      </c>
      <c r="O16" s="9" t="n">
        <v>2093724</v>
      </c>
      <c r="P16" s="10" t="n">
        <f aca="false">IFERROR(N16/O16,0)</f>
        <v>0.782733063192665</v>
      </c>
      <c r="Q16" s="9" t="n">
        <v>1922740</v>
      </c>
      <c r="R16" s="10" t="n">
        <f aca="false">IFERROR(N16/Q16,0)</f>
        <v>0.852339369857599</v>
      </c>
      <c r="S16" s="9" t="n">
        <v>4522000</v>
      </c>
      <c r="T16" s="10" t="n">
        <f aca="false">IFERROR(N16/S16,0)</f>
        <v>0.36241198584697</v>
      </c>
      <c r="U16" s="9" t="n">
        <v>3820751</v>
      </c>
      <c r="V16" s="10" t="n">
        <f aca="false">IFERROR(N16/U16,0)</f>
        <v>0.428927977771909</v>
      </c>
    </row>
    <row r="17" customFormat="false" ht="15" hidden="false" customHeight="true" outlineLevel="0" collapsed="false">
      <c r="B17" s="5" t="s">
        <v>30</v>
      </c>
      <c r="C17" s="9" t="n">
        <v>0</v>
      </c>
      <c r="D17" s="9" t="n">
        <v>3848</v>
      </c>
      <c r="E17" s="9" t="n">
        <v>35000</v>
      </c>
      <c r="F17" s="10" t="n">
        <f aca="false">IFERROR(C17/E17,0)</f>
        <v>0</v>
      </c>
      <c r="G17" s="9" t="n">
        <v>0</v>
      </c>
      <c r="H17" s="10" t="n">
        <f aca="false">IFERROR(G17/E17,0)</f>
        <v>0</v>
      </c>
      <c r="J17" s="9" t="n">
        <v>0</v>
      </c>
      <c r="L17" s="9" t="n">
        <v>16544</v>
      </c>
      <c r="N17" s="9" t="n">
        <v>51293</v>
      </c>
      <c r="O17" s="9" t="n">
        <v>72500</v>
      </c>
      <c r="P17" s="10" t="n">
        <f aca="false">IFERROR(N17/O17,0)</f>
        <v>0.707489655172414</v>
      </c>
      <c r="Q17" s="9" t="n">
        <v>476220</v>
      </c>
      <c r="R17" s="10" t="n">
        <f aca="false">IFERROR(N17/Q17,0)</f>
        <v>0.107708622065432</v>
      </c>
      <c r="S17" s="9" t="n">
        <v>1120000</v>
      </c>
      <c r="T17" s="10" t="n">
        <f aca="false">IFERROR(N17/S17,0)</f>
        <v>0.0457973214285714</v>
      </c>
      <c r="U17" s="9" t="n">
        <v>137530</v>
      </c>
      <c r="V17" s="10" t="n">
        <f aca="false">IFERROR(N17/U17,0)</f>
        <v>0.372958627208609</v>
      </c>
    </row>
    <row r="18" customFormat="false" ht="15" hidden="false" customHeight="true" outlineLevel="0" collapsed="false">
      <c r="B18" s="5" t="s">
        <v>31</v>
      </c>
      <c r="C18" s="9" t="n">
        <v>3065</v>
      </c>
      <c r="D18" s="9" t="n">
        <v>16997</v>
      </c>
      <c r="E18" s="9" t="n">
        <v>65000</v>
      </c>
      <c r="F18" s="10" t="n">
        <f aca="false">IFERROR(C18/E18,0)</f>
        <v>0.0471538461538462</v>
      </c>
      <c r="G18" s="9" t="n">
        <v>33715</v>
      </c>
      <c r="H18" s="10" t="n">
        <f aca="false">IFERROR(G18/E18,0)</f>
        <v>0.518692307692308</v>
      </c>
      <c r="J18" s="9" t="n">
        <v>0</v>
      </c>
      <c r="L18" s="9" t="n">
        <v>50426</v>
      </c>
      <c r="N18" s="9" t="n">
        <v>157778</v>
      </c>
      <c r="O18" s="9" t="n">
        <v>176545</v>
      </c>
      <c r="P18" s="10" t="n">
        <f aca="false">IFERROR(N18/O18,0)</f>
        <v>0.893698490469852</v>
      </c>
      <c r="Q18" s="9" t="n">
        <v>255118</v>
      </c>
      <c r="R18" s="10" t="n">
        <f aca="false">IFERROR(N18/Q18,0)</f>
        <v>0.61845106970108</v>
      </c>
      <c r="S18" s="9" t="n">
        <v>600000</v>
      </c>
      <c r="T18" s="10" t="n">
        <f aca="false">IFERROR(N18/S18,0)</f>
        <v>0.262963333333333</v>
      </c>
      <c r="U18" s="9" t="n">
        <v>322611</v>
      </c>
      <c r="V18" s="10" t="n">
        <f aca="false">IFERROR(N18/U18,0)</f>
        <v>0.489065778910205</v>
      </c>
    </row>
    <row r="19" customFormat="false" ht="15" hidden="false" customHeight="true" outlineLevel="0" collapsed="false">
      <c r="B19" s="5" t="s">
        <v>32</v>
      </c>
      <c r="C19" s="9" t="n">
        <v>725</v>
      </c>
      <c r="D19" s="9" t="n">
        <v>27403</v>
      </c>
      <c r="E19" s="9" t="n">
        <v>113835</v>
      </c>
      <c r="F19" s="10" t="n">
        <f aca="false">IFERROR(C19/E19,0)</f>
        <v>0.00636886722009927</v>
      </c>
      <c r="G19" s="9" t="n">
        <v>7973</v>
      </c>
      <c r="H19" s="10" t="n">
        <f aca="false">IFERROR(G19/E19,0)</f>
        <v>0.0700399701322089</v>
      </c>
      <c r="J19" s="9" t="n">
        <v>0</v>
      </c>
      <c r="L19" s="9" t="n">
        <v>119335</v>
      </c>
      <c r="N19" s="9" t="n">
        <v>388542</v>
      </c>
      <c r="O19" s="9" t="n">
        <v>172754</v>
      </c>
      <c r="P19" s="10" t="n">
        <f aca="false">IFERROR(N19/O19,0)</f>
        <v>2.24910566470241</v>
      </c>
      <c r="Q19" s="9" t="n">
        <v>371901</v>
      </c>
      <c r="R19" s="10" t="n">
        <f aca="false">IFERROR(N19/Q19,0)</f>
        <v>1.04474577911864</v>
      </c>
      <c r="S19" s="9" t="n">
        <v>874656</v>
      </c>
      <c r="T19" s="10" t="n">
        <f aca="false">IFERROR(N19/S19,0)</f>
        <v>0.444222642959061</v>
      </c>
      <c r="U19" s="9" t="n">
        <v>466087</v>
      </c>
      <c r="V19" s="10" t="n">
        <f aca="false">IFERROR(N19/U19,0)</f>
        <v>0.833625481937921</v>
      </c>
    </row>
    <row r="20" customFormat="false" ht="15" hidden="false" customHeight="true" outlineLevel="0" collapsed="false">
      <c r="B20" s="5" t="s">
        <v>33</v>
      </c>
      <c r="C20" s="9" t="n">
        <v>2754</v>
      </c>
      <c r="D20" s="9" t="n">
        <v>58240</v>
      </c>
      <c r="E20" s="9" t="n">
        <v>35000</v>
      </c>
      <c r="F20" s="10" t="n">
        <f aca="false">IFERROR(C20/E20,0)</f>
        <v>0.0786857142857143</v>
      </c>
      <c r="G20" s="9" t="n">
        <v>30294</v>
      </c>
      <c r="H20" s="10" t="n">
        <f aca="false">IFERROR(G20/E20,0)</f>
        <v>0.865542857142857</v>
      </c>
      <c r="J20" s="9" t="n">
        <v>0</v>
      </c>
      <c r="L20" s="9" t="n">
        <v>2754</v>
      </c>
      <c r="N20" s="9" t="n">
        <v>57099</v>
      </c>
      <c r="O20" s="9" t="n">
        <v>205985</v>
      </c>
      <c r="P20" s="10" t="n">
        <f aca="false">IFERROR(N20/O20,0)</f>
        <v>0.277199796101658</v>
      </c>
      <c r="Q20" s="9" t="n">
        <v>255118</v>
      </c>
      <c r="R20" s="10" t="n">
        <f aca="false">IFERROR(N20/Q20,0)</f>
        <v>0.223814078191268</v>
      </c>
      <c r="S20" s="9" t="n">
        <v>600000</v>
      </c>
      <c r="T20" s="10" t="n">
        <f aca="false">IFERROR(N20/S20,0)</f>
        <v>0.095165</v>
      </c>
      <c r="U20" s="9" t="n">
        <v>337325</v>
      </c>
      <c r="V20" s="10" t="n">
        <f aca="false">IFERROR(N20/U20,0)</f>
        <v>0.169269991847625</v>
      </c>
    </row>
    <row r="21" customFormat="false" ht="15" hidden="false" customHeight="true" outlineLevel="0" collapsed="false">
      <c r="B21" s="5" t="s">
        <v>34</v>
      </c>
      <c r="C21" s="9" t="n">
        <v>3767</v>
      </c>
      <c r="D21" s="9" t="n">
        <v>32855</v>
      </c>
      <c r="E21" s="9" t="n">
        <v>110000</v>
      </c>
      <c r="F21" s="10" t="n">
        <f aca="false">IFERROR(C21/E21,0)</f>
        <v>0.0342454545454545</v>
      </c>
      <c r="G21" s="9" t="n">
        <v>41437</v>
      </c>
      <c r="H21" s="10" t="n">
        <f aca="false">IFERROR(G21/E21,0)</f>
        <v>0.3767</v>
      </c>
      <c r="J21" s="9" t="n">
        <v>0</v>
      </c>
      <c r="L21" s="9" t="n">
        <v>20920</v>
      </c>
      <c r="N21" s="9" t="n">
        <v>226360</v>
      </c>
      <c r="O21" s="9" t="n">
        <v>375464</v>
      </c>
      <c r="P21" s="10" t="n">
        <f aca="false">IFERROR(N21/O21,0)</f>
        <v>0.602880702277715</v>
      </c>
      <c r="Q21" s="9" t="n">
        <v>402236</v>
      </c>
      <c r="R21" s="10" t="n">
        <f aca="false">IFERROR(N21/Q21,0)</f>
        <v>0.562754203999642</v>
      </c>
      <c r="S21" s="9" t="n">
        <v>946000</v>
      </c>
      <c r="T21" s="10" t="n">
        <f aca="false">IFERROR(N21/S21,0)</f>
        <v>0.239281183932347</v>
      </c>
      <c r="U21" s="9" t="n">
        <v>718725</v>
      </c>
      <c r="V21" s="10" t="n">
        <f aca="false">IFERROR(N21/U21,0)</f>
        <v>0.314946606838499</v>
      </c>
    </row>
    <row r="22" customFormat="false" ht="15" hidden="false" customHeight="true" outlineLevel="0" collapsed="false">
      <c r="B22" s="5" t="s">
        <v>35</v>
      </c>
      <c r="C22" s="9" t="n">
        <v>0</v>
      </c>
      <c r="D22" s="9" t="n">
        <v>42171</v>
      </c>
      <c r="E22" s="9" t="n">
        <v>79087</v>
      </c>
      <c r="F22" s="10" t="n">
        <f aca="false">IFERROR(C22/E22,0)</f>
        <v>0</v>
      </c>
      <c r="G22" s="9" t="n">
        <v>0</v>
      </c>
      <c r="H22" s="10" t="n">
        <f aca="false">IFERROR(G22/E22,0)</f>
        <v>0</v>
      </c>
      <c r="J22" s="9" t="n">
        <v>0</v>
      </c>
      <c r="L22" s="9" t="n">
        <v>111783</v>
      </c>
      <c r="N22" s="9" t="n">
        <v>310174</v>
      </c>
      <c r="O22" s="9" t="n">
        <v>460625</v>
      </c>
      <c r="P22" s="10" t="n">
        <f aca="false">IFERROR(N22/O22,0)</f>
        <v>0.673376390773406</v>
      </c>
      <c r="Q22" s="9" t="n">
        <v>410545</v>
      </c>
      <c r="R22" s="10" t="n">
        <f aca="false">IFERROR(N22/Q22,0)</f>
        <v>0.755517665542145</v>
      </c>
      <c r="S22" s="9" t="n">
        <v>965540</v>
      </c>
      <c r="T22" s="10" t="n">
        <f aca="false">IFERROR(N22/S22,0)</f>
        <v>0.321244070675477</v>
      </c>
      <c r="U22" s="9" t="n">
        <v>777608</v>
      </c>
      <c r="V22" s="10" t="n">
        <f aca="false">IFERROR(N22/U22,0)</f>
        <v>0.398882213145955</v>
      </c>
    </row>
    <row r="23" customFormat="false" ht="15" hidden="false" customHeight="true" outlineLevel="0" collapsed="false">
      <c r="B23" s="11" t="s">
        <v>36</v>
      </c>
      <c r="C23" s="12" t="n">
        <v>46507</v>
      </c>
      <c r="D23" s="12" t="n">
        <v>930430</v>
      </c>
      <c r="E23" s="12" t="n">
        <v>1449422</v>
      </c>
      <c r="F23" s="13" t="n">
        <f aca="false">IFERROR(C23/E23,0)</f>
        <v>0.0320865834794835</v>
      </c>
      <c r="G23" s="12" t="n">
        <v>511581</v>
      </c>
      <c r="H23" s="13" t="n">
        <f aca="false">IFERROR(G23/E23,0)</f>
        <v>0.35295517799509</v>
      </c>
      <c r="J23" s="12" t="n">
        <v>15665</v>
      </c>
      <c r="L23" s="12" t="n">
        <v>1293833</v>
      </c>
      <c r="N23" s="12" t="n">
        <v>5165267</v>
      </c>
      <c r="O23" s="12" t="n">
        <v>6025101</v>
      </c>
      <c r="P23" s="13" t="n">
        <f aca="false">IFERROR(N23/O23,0)</f>
        <v>0.8572913549499</v>
      </c>
      <c r="Q23" s="12" t="n">
        <v>6673123</v>
      </c>
      <c r="R23" s="13" t="n">
        <f aca="false">IFERROR(N23/Q23,0)</f>
        <v>0.774040430545039</v>
      </c>
      <c r="S23" s="12" t="n">
        <v>15694196</v>
      </c>
      <c r="T23" s="13" t="n">
        <f aca="false">IFERROR(N23/S23,0)</f>
        <v>0.329119567514003</v>
      </c>
      <c r="U23" s="12" t="n">
        <v>11540927</v>
      </c>
      <c r="V23" s="13" t="n">
        <f aca="false">IFERROR(N23/U23,0)</f>
        <v>0.447560841516457</v>
      </c>
    </row>
    <row r="25" customFormat="false" ht="15" hidden="false" customHeight="true" outlineLevel="0" collapsed="false">
      <c r="B25" s="5" t="s">
        <v>37</v>
      </c>
      <c r="C25" s="9" t="n">
        <v>0</v>
      </c>
      <c r="D25" s="9" t="n">
        <v>0</v>
      </c>
      <c r="E25" s="9" t="n">
        <v>0</v>
      </c>
      <c r="F25" s="10" t="n">
        <f aca="false">IFERROR(C25/E25,0)</f>
        <v>0</v>
      </c>
      <c r="G25" s="9" t="n">
        <v>0</v>
      </c>
      <c r="H25" s="10" t="n">
        <f aca="false">IFERROR(G25/E25,0)</f>
        <v>0</v>
      </c>
      <c r="J25" s="9" t="n">
        <v>0</v>
      </c>
      <c r="L25" s="9" t="n">
        <v>41215</v>
      </c>
      <c r="N25" s="9" t="n">
        <v>41228</v>
      </c>
      <c r="O25" s="9" t="n">
        <v>0</v>
      </c>
      <c r="P25" s="10" t="n">
        <f aca="false">IFERROR(N25/O25,0)</f>
        <v>0</v>
      </c>
      <c r="Q25" s="9" t="n">
        <v>0</v>
      </c>
      <c r="R25" s="10" t="n">
        <f aca="false">IFERROR(N25/Q25,0)</f>
        <v>0</v>
      </c>
      <c r="S25" s="9" t="n">
        <v>0</v>
      </c>
      <c r="T25" s="10" t="n">
        <f aca="false">IFERROR(N25/S25,0)</f>
        <v>0</v>
      </c>
      <c r="U25" s="9" t="n">
        <v>0</v>
      </c>
      <c r="V25" s="10" t="n">
        <f aca="false">IFERROR(N25/U25,0)</f>
        <v>0</v>
      </c>
    </row>
    <row r="26" customFormat="false" ht="15" hidden="false" customHeight="true" outlineLevel="0" collapsed="false">
      <c r="B26" s="5" t="s">
        <v>38</v>
      </c>
      <c r="C26" s="9" t="n">
        <v>0</v>
      </c>
      <c r="D26" s="9" t="n">
        <v>1556</v>
      </c>
      <c r="E26" s="9" t="n">
        <v>5000</v>
      </c>
      <c r="F26" s="10" t="n">
        <f aca="false">IFERROR(C26/E26,0)</f>
        <v>0</v>
      </c>
      <c r="G26" s="9" t="n">
        <v>0</v>
      </c>
      <c r="H26" s="10" t="n">
        <f aca="false">IFERROR(G26/E26,0)</f>
        <v>0</v>
      </c>
      <c r="J26" s="9" t="n">
        <v>0</v>
      </c>
      <c r="L26" s="9" t="n">
        <v>4487</v>
      </c>
      <c r="N26" s="9" t="n">
        <v>58844</v>
      </c>
      <c r="O26" s="9" t="n">
        <v>17016</v>
      </c>
      <c r="P26" s="10" t="n">
        <f aca="false">IFERROR(N26/O26,0)</f>
        <v>3.45815702867889</v>
      </c>
      <c r="Q26" s="9" t="n">
        <v>15000</v>
      </c>
      <c r="R26" s="10" t="n">
        <f aca="false">IFERROR(N26/Q26,0)</f>
        <v>3.92293333333333</v>
      </c>
      <c r="S26" s="9" t="n">
        <v>60000</v>
      </c>
      <c r="T26" s="10" t="n">
        <f aca="false">IFERROR(N26/S26,0)</f>
        <v>0.980733333333333</v>
      </c>
      <c r="U26" s="9" t="n">
        <v>62378</v>
      </c>
      <c r="V26" s="10" t="n">
        <f aca="false">IFERROR(N26/U26,0)</f>
        <v>0.94334541024079</v>
      </c>
    </row>
    <row r="27" customFormat="false" ht="15" hidden="false" customHeight="true" outlineLevel="0" collapsed="false">
      <c r="B27" s="5" t="s">
        <v>39</v>
      </c>
      <c r="C27" s="9" t="n">
        <v>0</v>
      </c>
      <c r="D27" s="9" t="n">
        <v>7137</v>
      </c>
      <c r="E27" s="9" t="n">
        <v>0</v>
      </c>
      <c r="F27" s="10" t="n">
        <f aca="false">IFERROR(C27/E27,0)</f>
        <v>0</v>
      </c>
      <c r="G27" s="9" t="n">
        <v>0</v>
      </c>
      <c r="H27" s="10" t="n">
        <f aca="false">IFERROR(G27/E27,0)</f>
        <v>0</v>
      </c>
      <c r="J27" s="9" t="n">
        <v>0</v>
      </c>
      <c r="L27" s="9" t="n">
        <v>0</v>
      </c>
      <c r="N27" s="9" t="n">
        <v>2084</v>
      </c>
      <c r="O27" s="9" t="n">
        <v>56083</v>
      </c>
      <c r="P27" s="10" t="n">
        <f aca="false">IFERROR(N27/O27,0)</f>
        <v>0.0371592104559314</v>
      </c>
      <c r="Q27" s="9" t="n">
        <v>0</v>
      </c>
      <c r="R27" s="10" t="n">
        <f aca="false">IFERROR(N27/Q27,0)</f>
        <v>0</v>
      </c>
      <c r="S27" s="9" t="n">
        <v>0</v>
      </c>
      <c r="T27" s="10" t="n">
        <f aca="false">IFERROR(N27/S27,0)</f>
        <v>0</v>
      </c>
      <c r="U27" s="9" t="n">
        <v>82466</v>
      </c>
      <c r="V27" s="10" t="n">
        <f aca="false">IFERROR(N27/U27,0)</f>
        <v>0.0252710207843232</v>
      </c>
    </row>
    <row r="28" customFormat="false" ht="15" hidden="false" customHeight="true" outlineLevel="0" collapsed="false">
      <c r="B28" s="5" t="s">
        <v>40</v>
      </c>
      <c r="C28" s="9" t="n">
        <v>0</v>
      </c>
      <c r="D28" s="9" t="n">
        <v>0</v>
      </c>
      <c r="E28" s="9" t="n">
        <v>0</v>
      </c>
      <c r="F28" s="10" t="n">
        <f aca="false">IFERROR(C28/E28,0)</f>
        <v>0</v>
      </c>
      <c r="G28" s="9" t="n">
        <v>0</v>
      </c>
      <c r="H28" s="10" t="n">
        <f aca="false">IFERROR(G28/E28,0)</f>
        <v>0</v>
      </c>
      <c r="J28" s="9" t="n">
        <v>0</v>
      </c>
      <c r="L28" s="9" t="n">
        <v>192</v>
      </c>
      <c r="N28" s="9" t="n">
        <v>21070</v>
      </c>
      <c r="O28" s="9" t="n">
        <v>2093</v>
      </c>
      <c r="P28" s="10" t="n">
        <f aca="false">IFERROR(N28/O28,0)</f>
        <v>10.066889632107</v>
      </c>
      <c r="Q28" s="9" t="n">
        <v>0</v>
      </c>
      <c r="R28" s="10" t="n">
        <f aca="false">IFERROR(N28/Q28,0)</f>
        <v>0</v>
      </c>
      <c r="S28" s="9" t="n">
        <v>0</v>
      </c>
      <c r="T28" s="10" t="n">
        <f aca="false">IFERROR(N28/S28,0)</f>
        <v>0</v>
      </c>
      <c r="U28" s="9" t="n">
        <v>2093</v>
      </c>
      <c r="V28" s="10" t="n">
        <f aca="false">IFERROR(N28/U28,0)</f>
        <v>10.066889632107</v>
      </c>
    </row>
    <row r="29" customFormat="false" ht="15" hidden="false" customHeight="true" outlineLevel="0" collapsed="false">
      <c r="B29" s="5" t="s">
        <v>41</v>
      </c>
      <c r="C29" s="9" t="n">
        <v>184</v>
      </c>
      <c r="D29" s="9" t="n">
        <v>40809</v>
      </c>
      <c r="E29" s="9" t="n">
        <v>25000</v>
      </c>
      <c r="F29" s="10" t="n">
        <f aca="false">IFERROR(C29/E29,0)</f>
        <v>0.00736</v>
      </c>
      <c r="G29" s="9" t="n">
        <v>2024</v>
      </c>
      <c r="H29" s="10" t="n">
        <f aca="false">IFERROR(G29/E29,0)</f>
        <v>0.08096</v>
      </c>
      <c r="J29" s="9" t="n">
        <v>0</v>
      </c>
      <c r="L29" s="9" t="n">
        <v>11315</v>
      </c>
      <c r="N29" s="9" t="n">
        <v>91770</v>
      </c>
      <c r="O29" s="9" t="n">
        <v>134113</v>
      </c>
      <c r="P29" s="10" t="n">
        <f aca="false">IFERROR(N29/O29,0)</f>
        <v>0.684273709483794</v>
      </c>
      <c r="Q29" s="9" t="n">
        <v>65000</v>
      </c>
      <c r="R29" s="10" t="n">
        <f aca="false">IFERROR(N29/Q29,0)</f>
        <v>1.41184615384615</v>
      </c>
      <c r="S29" s="9" t="n">
        <v>265000</v>
      </c>
      <c r="T29" s="10" t="n">
        <f aca="false">IFERROR(N29/S29,0)</f>
        <v>0.346301886792453</v>
      </c>
      <c r="U29" s="9" t="n">
        <v>261659</v>
      </c>
      <c r="V29" s="10" t="n">
        <f aca="false">IFERROR(N29/U29,0)</f>
        <v>0.350723651775785</v>
      </c>
    </row>
    <row r="30" customFormat="false" ht="15" hidden="false" customHeight="true" outlineLevel="0" collapsed="false">
      <c r="B30" s="14" t="s">
        <v>42</v>
      </c>
      <c r="C30" s="15" t="n">
        <v>46691</v>
      </c>
      <c r="D30" s="15" t="n">
        <v>979932</v>
      </c>
      <c r="E30" s="15" t="n">
        <v>1479422</v>
      </c>
      <c r="F30" s="16" t="n">
        <f aca="false">IFERROR(C30/E30,0)</f>
        <v>0.0315602985490279</v>
      </c>
      <c r="G30" s="15" t="n">
        <v>513605</v>
      </c>
      <c r="H30" s="16" t="n">
        <f aca="false">IFERROR(G30/E30,0)</f>
        <v>0.347165987797937</v>
      </c>
      <c r="J30" s="15" t="n">
        <v>15665</v>
      </c>
      <c r="L30" s="15" t="n">
        <v>1351042</v>
      </c>
      <c r="N30" s="15" t="n">
        <v>5380262</v>
      </c>
      <c r="O30" s="15" t="n">
        <v>6234406</v>
      </c>
      <c r="P30" s="16" t="n">
        <f aca="false">IFERROR(N30/O30,0)</f>
        <v>0.862995127362575</v>
      </c>
      <c r="Q30" s="15" t="n">
        <v>6753123</v>
      </c>
      <c r="R30" s="16" t="n">
        <f aca="false">IFERROR(N30/Q30,0)</f>
        <v>0.796707241967901</v>
      </c>
      <c r="S30" s="15" t="n">
        <v>16019196</v>
      </c>
      <c r="T30" s="16" t="n">
        <f aca="false">IFERROR(N30/S30,0)</f>
        <v>0.335863422858426</v>
      </c>
      <c r="U30" s="15" t="n">
        <v>11949524</v>
      </c>
      <c r="V30" s="16" t="n">
        <f aca="false">IFERROR(N30/U30,0)</f>
        <v>0.450249064314194</v>
      </c>
    </row>
    <row r="33" customFormat="false" ht="15" hidden="false" customHeight="true" outlineLevel="0" collapsed="false">
      <c r="C33" s="7" t="s">
        <v>9</v>
      </c>
      <c r="J33" s="7" t="s">
        <v>43</v>
      </c>
      <c r="N33" s="7" t="s">
        <v>11</v>
      </c>
      <c r="P33" s="7" t="s">
        <v>44</v>
      </c>
    </row>
    <row r="35" customFormat="false" ht="15" hidden="false" customHeight="true" outlineLevel="0" collapsed="false">
      <c r="C35" s="8" t="s">
        <v>13</v>
      </c>
      <c r="E35" s="8" t="s">
        <v>15</v>
      </c>
      <c r="F35" s="8" t="s">
        <v>16</v>
      </c>
      <c r="J35" s="8" t="s">
        <v>18</v>
      </c>
      <c r="K35" s="8" t="s">
        <v>45</v>
      </c>
      <c r="L35" s="8" t="s">
        <v>46</v>
      </c>
      <c r="N35" s="8" t="s">
        <v>19</v>
      </c>
      <c r="P35" s="8" t="s">
        <v>20</v>
      </c>
      <c r="Q35" s="8" t="s">
        <v>47</v>
      </c>
      <c r="R35" s="8" t="s">
        <v>46</v>
      </c>
    </row>
    <row r="36" customFormat="false" ht="15" hidden="false" customHeight="true" outlineLevel="0" collapsed="false">
      <c r="B36" s="5" t="s">
        <v>48</v>
      </c>
      <c r="C36" s="9" t="n">
        <v>44082</v>
      </c>
      <c r="E36" s="9" t="n">
        <v>922307</v>
      </c>
      <c r="F36" s="10" t="n">
        <f aca="false">IFERROR(C36/E36,0)</f>
        <v>0.047795365317622</v>
      </c>
      <c r="J36" s="9" t="n">
        <v>10087</v>
      </c>
      <c r="K36" s="9" t="n">
        <v>1034926</v>
      </c>
      <c r="L36" s="10" t="n">
        <f aca="false">IFERROR(J36/K36,0)</f>
        <v>0.00974659057749057</v>
      </c>
      <c r="N36" s="9" t="n">
        <v>592041</v>
      </c>
      <c r="P36" s="9" t="n">
        <v>3482261</v>
      </c>
    </row>
    <row r="37" customFormat="false" ht="15" hidden="false" customHeight="true" outlineLevel="0" collapsed="false">
      <c r="B37" s="5" t="s">
        <v>49</v>
      </c>
      <c r="C37" s="9" t="n">
        <v>2609</v>
      </c>
      <c r="E37" s="9" t="n">
        <v>345615</v>
      </c>
      <c r="F37" s="10" t="n">
        <f aca="false">IFERROR(C37/E37,0)</f>
        <v>0.00754886217322744</v>
      </c>
      <c r="J37" s="9" t="n">
        <v>5578</v>
      </c>
      <c r="K37" s="9" t="n">
        <v>346129</v>
      </c>
      <c r="L37" s="10" t="n">
        <f aca="false">IFERROR(J37/K37,0)</f>
        <v>0.0161153789483112</v>
      </c>
      <c r="N37" s="9" t="n">
        <v>556196</v>
      </c>
      <c r="P37" s="9" t="n">
        <v>732605</v>
      </c>
    </row>
    <row r="38" customFormat="false" ht="15" hidden="false" customHeight="true" outlineLevel="0" collapsed="false">
      <c r="B38" s="5" t="s">
        <v>50</v>
      </c>
      <c r="C38" s="9" t="n">
        <v>0</v>
      </c>
      <c r="E38" s="9" t="n">
        <v>54500</v>
      </c>
      <c r="F38" s="10" t="n">
        <f aca="false">IFERROR(C38/E38,0)</f>
        <v>0</v>
      </c>
      <c r="J38" s="9" t="n">
        <v>0</v>
      </c>
      <c r="K38" s="9" t="n">
        <v>24961</v>
      </c>
      <c r="L38" s="10" t="n">
        <f aca="false">IFERROR(J38/K38,0)</f>
        <v>0</v>
      </c>
      <c r="N38" s="9" t="n">
        <v>0</v>
      </c>
      <c r="P38" s="9" t="n">
        <v>32032</v>
      </c>
    </row>
    <row r="39" customFormat="false" ht="15" hidden="false" customHeight="true" outlineLevel="0" collapsed="false">
      <c r="B39" s="5" t="s">
        <v>51</v>
      </c>
      <c r="C39" s="9" t="n">
        <v>0</v>
      </c>
      <c r="E39" s="9" t="n">
        <v>57000</v>
      </c>
      <c r="F39" s="10" t="n">
        <f aca="false">IFERROR(C39/E39,0)</f>
        <v>0</v>
      </c>
      <c r="J39" s="9" t="n">
        <v>0</v>
      </c>
      <c r="K39" s="9" t="n">
        <v>27961</v>
      </c>
      <c r="L39" s="10" t="n">
        <f aca="false">IFERROR(J39/K39,0)</f>
        <v>0</v>
      </c>
      <c r="N39" s="9" t="n">
        <v>0</v>
      </c>
      <c r="P39" s="9" t="n">
        <v>130637</v>
      </c>
    </row>
    <row r="40" customFormat="false" ht="15" hidden="false" customHeight="true" outlineLevel="0" collapsed="false">
      <c r="B40" s="5" t="s">
        <v>52</v>
      </c>
      <c r="C40" s="9" t="n">
        <v>0</v>
      </c>
      <c r="E40" s="9" t="n">
        <v>100000</v>
      </c>
      <c r="F40" s="10" t="n">
        <f aca="false">IFERROR(C40/E40,0)</f>
        <v>0</v>
      </c>
      <c r="J40" s="9" t="n">
        <v>0</v>
      </c>
      <c r="K40" s="9" t="n">
        <v>99999</v>
      </c>
      <c r="L40" s="10" t="n">
        <f aca="false">IFERROR(J40/K40,0)</f>
        <v>0</v>
      </c>
      <c r="N40" s="9" t="n">
        <v>186261</v>
      </c>
      <c r="P40" s="9" t="n">
        <v>243378</v>
      </c>
    </row>
    <row r="41" customFormat="false" ht="15" hidden="false" customHeight="true" outlineLevel="0" collapsed="false">
      <c r="B41" s="5" t="s">
        <v>53</v>
      </c>
      <c r="C41" s="9" t="n">
        <v>0</v>
      </c>
      <c r="E41" s="9" t="n">
        <v>0</v>
      </c>
      <c r="F41" s="10" t="n">
        <f aca="false">IFERROR(C41/E41,0)</f>
        <v>0</v>
      </c>
      <c r="J41" s="9" t="n">
        <v>0</v>
      </c>
      <c r="K41" s="9" t="n">
        <v>0</v>
      </c>
      <c r="L41" s="10" t="n">
        <f aca="false">IFERROR(J41/K41,0)</f>
        <v>0</v>
      </c>
      <c r="N41" s="9" t="n">
        <v>16544</v>
      </c>
      <c r="P41" s="9" t="n">
        <v>0</v>
      </c>
    </row>
    <row r="42" customFormat="false" ht="15" hidden="false" customHeight="true" outlineLevel="0" collapsed="false">
      <c r="B42" s="5" t="s">
        <v>54</v>
      </c>
      <c r="C42" s="9" t="n">
        <v>0</v>
      </c>
      <c r="E42" s="9" t="n">
        <v>0</v>
      </c>
      <c r="F42" s="10" t="n">
        <f aca="false">IFERROR(C42/E42,0)</f>
        <v>0</v>
      </c>
      <c r="J42" s="9" t="n">
        <v>0</v>
      </c>
      <c r="K42" s="9" t="n">
        <v>0</v>
      </c>
      <c r="L42" s="10" t="n">
        <f aca="false">IFERROR(J42/K42,0)</f>
        <v>0</v>
      </c>
      <c r="N42" s="9" t="n">
        <v>0</v>
      </c>
      <c r="P42" s="9" t="n">
        <v>0</v>
      </c>
    </row>
    <row r="43" customFormat="false" ht="15" hidden="false" customHeight="true" outlineLevel="0" collapsed="false">
      <c r="B43" s="11" t="s">
        <v>55</v>
      </c>
      <c r="C43" s="12" t="n">
        <v>46691</v>
      </c>
      <c r="E43" s="12" t="n">
        <v>1479422</v>
      </c>
      <c r="F43" s="13" t="n">
        <f aca="false">IFERROR(C43/E43,0)</f>
        <v>0.0315602985490279</v>
      </c>
      <c r="J43" s="12" t="n">
        <v>15665</v>
      </c>
      <c r="K43" s="12" t="n">
        <v>1533976</v>
      </c>
      <c r="L43" s="13" t="n">
        <f aca="false">IFERROR(J43/K43,0)</f>
        <v>0.0102120241776925</v>
      </c>
      <c r="N43" s="12" t="n">
        <v>1351042</v>
      </c>
      <c r="P43" s="12" t="n">
        <v>4620914</v>
      </c>
    </row>
    <row r="44" customFormat="false" ht="15" hidden="false" customHeight="true" outlineLevel="0" collapsed="false">
      <c r="B44" s="5" t="s">
        <v>56</v>
      </c>
      <c r="C44" s="9" t="n">
        <v>0</v>
      </c>
      <c r="E44" s="9" t="n">
        <v>0</v>
      </c>
      <c r="F44" s="10" t="n">
        <f aca="false">IFERROR(C44/E44,0)</f>
        <v>0</v>
      </c>
      <c r="J44" s="9" t="n">
        <v>1716</v>
      </c>
      <c r="K44" s="9" t="n">
        <v>83162</v>
      </c>
      <c r="L44" s="10" t="n">
        <f aca="false">IFERROR(J44/K44,0)</f>
        <v>0.0206344243765181</v>
      </c>
      <c r="N44" s="9" t="n">
        <v>0</v>
      </c>
      <c r="P44" s="9" t="n">
        <v>293989</v>
      </c>
    </row>
    <row r="45" customFormat="false" ht="15" hidden="false" customHeight="true" outlineLevel="0" collapsed="false">
      <c r="B45" s="14" t="s">
        <v>57</v>
      </c>
      <c r="C45" s="15" t="n">
        <v>46691</v>
      </c>
      <c r="E45" s="15" t="n">
        <v>0</v>
      </c>
      <c r="F45" s="16" t="n">
        <f aca="false">IFERROR(C45/E45,0)</f>
        <v>0</v>
      </c>
      <c r="J45" s="15" t="n">
        <v>17382</v>
      </c>
      <c r="K45" s="15" t="n">
        <v>1617138</v>
      </c>
      <c r="L45" s="16" t="n">
        <f aca="false">IFERROR(J45/K45,0)</f>
        <v>0.0107486188562757</v>
      </c>
      <c r="N45" s="15" t="n">
        <v>1351042</v>
      </c>
      <c r="P45" s="15" t="n">
        <v>4914903</v>
      </c>
      <c r="Q45" s="15" t="n">
        <v>6713948</v>
      </c>
      <c r="R45" s="16" t="n">
        <f aca="false">IFERROR(P45/Q45,0)</f>
        <v>0.732043650025291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7" min="2" style="1" width="13"/>
  </cols>
  <sheetData>
    <row r="1" customFormat="false" ht="15" hidden="false" customHeight="true" outlineLevel="0" collapsed="false">
      <c r="A1" s="17" t="s">
        <v>58</v>
      </c>
    </row>
    <row r="4" customFormat="false" ht="15" hidden="false" customHeight="true" outlineLevel="0" collapsed="false">
      <c r="A4" s="18" t="s">
        <v>59</v>
      </c>
      <c r="B4" s="18" t="s">
        <v>60</v>
      </c>
      <c r="C4" s="18" t="s">
        <v>61</v>
      </c>
      <c r="D4" s="18" t="s">
        <v>62</v>
      </c>
      <c r="E4" s="18" t="s">
        <v>63</v>
      </c>
      <c r="F4" s="18" t="s">
        <v>64</v>
      </c>
      <c r="G4" s="18" t="s">
        <v>65</v>
      </c>
    </row>
    <row r="5" customFormat="false" ht="15" hidden="false" customHeight="true" outlineLevel="0" collapsed="false">
      <c r="A5" s="5" t="s">
        <v>38</v>
      </c>
      <c r="B5" s="9" t="n">
        <v>20883.4</v>
      </c>
      <c r="C5" s="9" t="n">
        <v>8092.18</v>
      </c>
      <c r="D5" s="9" t="n">
        <v>4557.53</v>
      </c>
      <c r="E5" s="9" t="n">
        <v>11196.48</v>
      </c>
      <c r="F5" s="9" t="n">
        <v>3106.62</v>
      </c>
      <c r="G5" s="9" t="n">
        <f aca="false">SUM(B5:F5)</f>
        <v>47836.21</v>
      </c>
    </row>
    <row r="6" customFormat="false" ht="15" hidden="false" customHeight="true" outlineLevel="0" collapsed="false">
      <c r="A6" s="5" t="s">
        <v>27</v>
      </c>
      <c r="B6" s="9" t="n">
        <v>172905.3</v>
      </c>
      <c r="C6" s="9" t="n">
        <v>137414.86</v>
      </c>
      <c r="D6" s="9" t="n">
        <v>165774.44</v>
      </c>
      <c r="E6" s="9" t="n">
        <v>273320.11</v>
      </c>
      <c r="F6" s="9" t="n">
        <v>135546.3</v>
      </c>
      <c r="G6" s="9" t="n">
        <f aca="false">SUM(B6:F6)</f>
        <v>884961.01</v>
      </c>
    </row>
    <row r="7" customFormat="false" ht="15" hidden="false" customHeight="true" outlineLevel="0" collapsed="false">
      <c r="A7" s="5" t="s">
        <v>39</v>
      </c>
      <c r="B7" s="9" t="n">
        <v>0</v>
      </c>
      <c r="C7" s="9" t="n">
        <v>2084</v>
      </c>
      <c r="D7" s="9" t="n">
        <v>0</v>
      </c>
      <c r="E7" s="9" t="n">
        <v>0</v>
      </c>
      <c r="F7" s="9" t="n">
        <v>0</v>
      </c>
      <c r="G7" s="9" t="n">
        <f aca="false">SUM(B7:F7)</f>
        <v>2084</v>
      </c>
    </row>
    <row r="8" customFormat="false" ht="15" hidden="false" customHeight="true" outlineLevel="0" collapsed="false">
      <c r="A8" s="5" t="s">
        <v>28</v>
      </c>
      <c r="B8" s="9" t="n">
        <v>184892.87</v>
      </c>
      <c r="C8" s="9" t="n">
        <v>151654.09</v>
      </c>
      <c r="D8" s="9" t="n">
        <v>192332.91</v>
      </c>
      <c r="E8" s="9" t="n">
        <v>311281.82</v>
      </c>
      <c r="F8" s="9" t="n">
        <v>86191.33</v>
      </c>
      <c r="G8" s="9" t="n">
        <f aca="false">SUM(B8:F8)</f>
        <v>926353.02</v>
      </c>
    </row>
    <row r="9" customFormat="false" ht="15" hidden="false" customHeight="true" outlineLevel="0" collapsed="false">
      <c r="A9" s="5" t="s">
        <v>40</v>
      </c>
      <c r="B9" s="9" t="n">
        <v>0</v>
      </c>
      <c r="C9" s="9" t="n">
        <v>0</v>
      </c>
      <c r="D9" s="9" t="n">
        <v>18017.34</v>
      </c>
      <c r="E9" s="9" t="n">
        <v>0</v>
      </c>
      <c r="F9" s="9" t="n">
        <v>0</v>
      </c>
      <c r="G9" s="9" t="n">
        <f aca="false">SUM(B9:F9)</f>
        <v>18017.34</v>
      </c>
    </row>
    <row r="10" customFormat="false" ht="15" hidden="false" customHeight="true" outlineLevel="0" collapsed="false">
      <c r="A10" s="5" t="s">
        <v>29</v>
      </c>
      <c r="B10" s="9" t="n">
        <v>291224.37</v>
      </c>
      <c r="C10" s="9" t="n">
        <v>177306.69</v>
      </c>
      <c r="D10" s="9" t="n">
        <v>342650.01</v>
      </c>
      <c r="E10" s="9" t="n">
        <v>320793.44</v>
      </c>
      <c r="F10" s="9" t="n">
        <v>220975.64</v>
      </c>
      <c r="G10" s="9" t="n">
        <f aca="false">SUM(B10:F10)</f>
        <v>1352950.15</v>
      </c>
    </row>
    <row r="11" customFormat="false" ht="15" hidden="false" customHeight="true" outlineLevel="0" collapsed="false">
      <c r="A11" s="5" t="s">
        <v>41</v>
      </c>
      <c r="B11" s="9" t="n">
        <v>25027.94</v>
      </c>
      <c r="C11" s="9" t="n">
        <v>7557.52</v>
      </c>
      <c r="D11" s="9" t="n">
        <v>18627.35</v>
      </c>
      <c r="E11" s="9" t="n">
        <v>13076</v>
      </c>
      <c r="F11" s="9" t="n">
        <v>10456.56</v>
      </c>
      <c r="G11" s="9" t="n">
        <f aca="false">SUM(B11:F11)</f>
        <v>74745.37</v>
      </c>
    </row>
    <row r="12" customFormat="false" ht="15" hidden="false" customHeight="true" outlineLevel="0" collapsed="false">
      <c r="A12" s="5" t="s">
        <v>66</v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f aca="false">SUM(B12:F12)</f>
        <v>0</v>
      </c>
    </row>
    <row r="13" customFormat="false" ht="15" hidden="false" customHeight="true" outlineLevel="0" collapsed="false">
      <c r="A13" s="5" t="s">
        <v>67</v>
      </c>
      <c r="B13" s="9" t="n">
        <v>44660.09</v>
      </c>
      <c r="C13" s="9" t="n">
        <v>5262.04</v>
      </c>
      <c r="D13" s="9" t="n">
        <v>88811.11</v>
      </c>
      <c r="E13" s="9" t="n">
        <v>89737.33</v>
      </c>
      <c r="F13" s="9" t="n">
        <v>4712.62</v>
      </c>
      <c r="G13" s="9" t="n">
        <f aca="false">SUM(B13:F13)</f>
        <v>233183.19</v>
      </c>
    </row>
    <row r="14" customFormat="false" ht="15" hidden="false" customHeight="true" outlineLevel="0" collapsed="false">
      <c r="A14" s="5" t="s">
        <v>34</v>
      </c>
      <c r="B14" s="9" t="n">
        <v>66794.44</v>
      </c>
      <c r="C14" s="9" t="n">
        <v>30664.01</v>
      </c>
      <c r="D14" s="9" t="n">
        <v>69322.33</v>
      </c>
      <c r="E14" s="9" t="n">
        <v>32238.09</v>
      </c>
      <c r="F14" s="9" t="n">
        <v>42207.69</v>
      </c>
      <c r="G14" s="9" t="n">
        <f aca="false">SUM(B14:F14)</f>
        <v>241226.56</v>
      </c>
    </row>
    <row r="15" customFormat="false" ht="15" hidden="false" customHeight="true" outlineLevel="0" collapsed="false">
      <c r="A15" s="5" t="s">
        <v>30</v>
      </c>
      <c r="B15" s="9" t="n">
        <v>15212.41</v>
      </c>
      <c r="C15" s="9" t="n">
        <v>23667.3</v>
      </c>
      <c r="D15" s="9" t="n">
        <v>7292.07</v>
      </c>
      <c r="E15" s="9" t="n">
        <v>0</v>
      </c>
      <c r="F15" s="9" t="n">
        <v>11430.6</v>
      </c>
      <c r="G15" s="9" t="n">
        <f aca="false">SUM(B15:F15)</f>
        <v>57602.38</v>
      </c>
    </row>
    <row r="16" customFormat="false" ht="15" hidden="false" customHeight="true" outlineLevel="0" collapsed="false">
      <c r="A16" s="5" t="s">
        <v>68</v>
      </c>
      <c r="B16" s="9" t="n">
        <v>30605.95</v>
      </c>
      <c r="C16" s="9" t="n">
        <v>37989.4</v>
      </c>
      <c r="D16" s="9" t="n">
        <v>46745.63</v>
      </c>
      <c r="E16" s="9" t="n">
        <v>125489.73</v>
      </c>
      <c r="F16" s="9" t="n">
        <v>18780.32</v>
      </c>
      <c r="G16" s="9" t="n">
        <f aca="false">SUM(B16:F16)</f>
        <v>259611.03</v>
      </c>
    </row>
    <row r="17" customFormat="false" ht="15" hidden="false" customHeight="true" outlineLevel="0" collapsed="false">
      <c r="A17" s="5" t="s">
        <v>31</v>
      </c>
      <c r="B17" s="9" t="n">
        <v>1081</v>
      </c>
      <c r="C17" s="9" t="n">
        <v>17671.98</v>
      </c>
      <c r="D17" s="9" t="n">
        <v>28605.26</v>
      </c>
      <c r="E17" s="9" t="n">
        <v>57049.82</v>
      </c>
      <c r="F17" s="9" t="n">
        <v>8377.78</v>
      </c>
      <c r="G17" s="9" t="n">
        <f aca="false">SUM(B17:F17)</f>
        <v>112785.84</v>
      </c>
    </row>
    <row r="18" customFormat="false" ht="15" hidden="false" customHeight="true" outlineLevel="0" collapsed="false">
      <c r="A18" s="5" t="s">
        <v>33</v>
      </c>
      <c r="B18" s="9" t="n">
        <v>8403.85</v>
      </c>
      <c r="C18" s="9" t="n">
        <v>2311.2</v>
      </c>
      <c r="D18" s="9" t="n">
        <v>5087.52</v>
      </c>
      <c r="E18" s="9" t="n">
        <v>30087.2</v>
      </c>
      <c r="F18" s="9" t="n">
        <v>9628.32</v>
      </c>
      <c r="G18" s="9" t="n">
        <f aca="false">SUM(B18:F18)</f>
        <v>55518.09</v>
      </c>
    </row>
    <row r="19" customFormat="false" ht="15" hidden="false" customHeight="true" outlineLevel="0" collapsed="false">
      <c r="A19" s="19" t="s">
        <v>65</v>
      </c>
      <c r="B19" s="20" t="n">
        <f aca="false">SUM(B5:B18)</f>
        <v>861691.62</v>
      </c>
      <c r="C19" s="20" t="n">
        <f aca="false">SUM(C5:C18)</f>
        <v>601675.27</v>
      </c>
      <c r="D19" s="20" t="n">
        <f aca="false">SUM(D5:D18)</f>
        <v>987823.5</v>
      </c>
      <c r="E19" s="20" t="n">
        <f aca="false">SUM(E5:E18)</f>
        <v>1264270.02</v>
      </c>
      <c r="F19" s="20" t="n">
        <f aca="false">SUM(F5:F18)</f>
        <v>551413.78</v>
      </c>
      <c r="G19" s="20" t="n">
        <f aca="false">SUM(G5:G18)</f>
        <v>4266874.19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21" t="s">
        <v>59</v>
      </c>
      <c r="B1" s="21" t="s">
        <v>69</v>
      </c>
      <c r="C1" s="21" t="s">
        <v>70</v>
      </c>
      <c r="D1" s="22" t="s">
        <v>71</v>
      </c>
      <c r="E1" s="21" t="s">
        <v>72</v>
      </c>
    </row>
    <row r="2" customFormat="false" ht="15" hidden="false" customHeight="false" outlineLevel="0" collapsed="false">
      <c r="A2" s="23" t="s">
        <v>28</v>
      </c>
      <c r="B2" s="23" t="s">
        <v>73</v>
      </c>
      <c r="C2" s="23" t="s">
        <v>74</v>
      </c>
      <c r="D2" s="24" t="n">
        <v>310</v>
      </c>
      <c r="E2" s="23"/>
    </row>
    <row r="3" customFormat="false" ht="15" hidden="false" customHeight="false" outlineLevel="0" collapsed="false">
      <c r="A3" s="23" t="s">
        <v>28</v>
      </c>
      <c r="B3" s="23" t="s">
        <v>75</v>
      </c>
      <c r="C3" s="23" t="s">
        <v>76</v>
      </c>
      <c r="D3" s="24" t="n">
        <v>3663</v>
      </c>
      <c r="E3" s="23"/>
    </row>
    <row r="4" customFormat="false" ht="15" hidden="false" customHeight="false" outlineLevel="0" collapsed="false">
      <c r="A4" s="23" t="s">
        <v>28</v>
      </c>
      <c r="B4" s="23" t="s">
        <v>77</v>
      </c>
      <c r="C4" s="23" t="s">
        <v>78</v>
      </c>
      <c r="D4" s="24" t="n">
        <v>3217</v>
      </c>
      <c r="E4" s="23"/>
    </row>
    <row r="5" customFormat="false" ht="15" hidden="false" customHeight="false" outlineLevel="0" collapsed="false">
      <c r="A5" s="23" t="s">
        <v>28</v>
      </c>
      <c r="B5" s="23" t="s">
        <v>79</v>
      </c>
      <c r="C5" s="23" t="s">
        <v>80</v>
      </c>
      <c r="D5" s="24" t="n">
        <v>8481</v>
      </c>
      <c r="E5" s="23"/>
    </row>
    <row r="6" customFormat="false" ht="15" hidden="false" customHeight="false" outlineLevel="0" collapsed="false">
      <c r="A6" s="23" t="s">
        <v>27</v>
      </c>
      <c r="B6" s="23" t="s">
        <v>81</v>
      </c>
      <c r="C6" s="23" t="s">
        <v>82</v>
      </c>
      <c r="D6" s="24" t="n">
        <v>8358</v>
      </c>
      <c r="E6" s="23"/>
    </row>
    <row r="7" customFormat="false" ht="15" hidden="false" customHeight="false" outlineLevel="0" collapsed="false">
      <c r="A7" s="23" t="s">
        <v>27</v>
      </c>
      <c r="B7" s="23" t="s">
        <v>83</v>
      </c>
      <c r="C7" s="23" t="s">
        <v>84</v>
      </c>
      <c r="D7" s="24" t="n">
        <v>2800</v>
      </c>
      <c r="E7" s="23" t="s">
        <v>85</v>
      </c>
    </row>
    <row r="8" customFormat="false" ht="15" hidden="false" customHeight="false" outlineLevel="0" collapsed="false">
      <c r="A8" s="23" t="s">
        <v>29</v>
      </c>
      <c r="B8" s="23" t="s">
        <v>86</v>
      </c>
      <c r="C8" s="23" t="s">
        <v>87</v>
      </c>
      <c r="D8" s="24" t="n">
        <v>1377</v>
      </c>
      <c r="E8" s="23"/>
    </row>
    <row r="9" customFormat="false" ht="15" hidden="false" customHeight="false" outlineLevel="0" collapsed="false">
      <c r="A9" s="23" t="s">
        <v>29</v>
      </c>
      <c r="B9" s="23" t="s">
        <v>88</v>
      </c>
      <c r="C9" s="23" t="s">
        <v>89</v>
      </c>
      <c r="D9" s="24" t="n">
        <v>3456</v>
      </c>
      <c r="E9" s="23"/>
    </row>
    <row r="10" customFormat="false" ht="15" hidden="false" customHeight="false" outlineLevel="0" collapsed="false">
      <c r="A10" s="23" t="s">
        <v>31</v>
      </c>
      <c r="B10" s="23" t="s">
        <v>90</v>
      </c>
      <c r="C10" s="23" t="s">
        <v>91</v>
      </c>
      <c r="D10" s="24" t="n">
        <v>3065</v>
      </c>
      <c r="E10" s="23"/>
    </row>
    <row r="11" customFormat="false" ht="15" hidden="false" customHeight="false" outlineLevel="0" collapsed="false">
      <c r="A11" s="23" t="s">
        <v>33</v>
      </c>
      <c r="B11" s="23" t="s">
        <v>92</v>
      </c>
      <c r="C11" s="23" t="s">
        <v>93</v>
      </c>
      <c r="D11" s="24" t="n">
        <v>2754</v>
      </c>
      <c r="E11" s="23" t="s">
        <v>85</v>
      </c>
    </row>
    <row r="12" customFormat="false" ht="15" hidden="false" customHeight="false" outlineLevel="0" collapsed="false">
      <c r="A12" s="23" t="s">
        <v>41</v>
      </c>
      <c r="B12" s="23" t="s">
        <v>94</v>
      </c>
      <c r="C12" s="23" t="s">
        <v>41</v>
      </c>
      <c r="D12" s="24" t="n">
        <v>184</v>
      </c>
      <c r="E12" s="23"/>
    </row>
    <row r="13" customFormat="false" ht="15" hidden="false" customHeight="false" outlineLevel="0" collapsed="false">
      <c r="A13" s="23" t="s">
        <v>66</v>
      </c>
      <c r="B13" s="23" t="s">
        <v>95</v>
      </c>
      <c r="C13" s="23" t="s">
        <v>96</v>
      </c>
      <c r="D13" s="24" t="n">
        <v>0</v>
      </c>
      <c r="E13" s="23"/>
    </row>
    <row r="14" customFormat="false" ht="15" hidden="false" customHeight="false" outlineLevel="0" collapsed="false">
      <c r="A14" s="25"/>
      <c r="B14" s="25"/>
      <c r="C14" s="26" t="s">
        <v>65</v>
      </c>
      <c r="D14" s="27" t="n">
        <f aca="false">SUM(D2:D13)</f>
        <v>37665</v>
      </c>
      <c r="E14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2026-06-03T16:32:17Z</dcterms:created>
  <dc:creator>openpyxl</dc:creator>
  <dc:description/>
  <dc:language>en-US</dc:language>
  <cp:lastModifiedBy/>
  <dcterms:modified xsi:type="dcterms:W3CDTF">2026-06-03T20:38:18Z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